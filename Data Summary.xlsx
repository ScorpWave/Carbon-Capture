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9.xml" ContentType="application/vnd.openxmlformats-officedocument.drawingml.chart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8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3.xml" ContentType="application/vnd.openxmlformats-officedocument.drawingml.chart+xml"/>
  <Override PartName="/xl/drawings/drawing8.xml" ContentType="application/vnd.openxmlformats-officedocument.drawing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9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9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0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0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0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0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0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0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0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10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0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0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0.xml" ContentType="application/vnd.openxmlformats-officedocument.drawing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drawings/drawing11.xml" ContentType="application/vnd.openxmlformats-officedocument.drawing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2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126.xml" ContentType="application/vnd.openxmlformats-officedocument.drawingml.chart+xml"/>
  <Override PartName="/xl/drawings/drawing12.xml" ContentType="application/vnd.openxmlformats-officedocument.drawing+xml"/>
  <Override PartName="/xl/charts/chart127.xml" ContentType="application/vnd.openxmlformats-officedocument.drawingml.chart+xml"/>
  <Override PartName="/xl/drawings/drawing13.xml" ContentType="application/vnd.openxmlformats-officedocument.drawing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drawings/drawing14.xml" ContentType="application/vnd.openxmlformats-officedocument.drawing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drawings/drawing15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Carbon-Capture Project\"/>
    </mc:Choice>
  </mc:AlternateContent>
  <xr:revisionPtr revIDLastSave="0" documentId="13_ncr:1_{EE507E30-E31B-45A3-84C8-8AC078238027}" xr6:coauthVersionLast="47" xr6:coauthVersionMax="47" xr10:uidLastSave="{00000000-0000-0000-0000-000000000000}"/>
  <bookViews>
    <workbookView xWindow="-108" yWindow="-108" windowWidth="23256" windowHeight="12576" firstSheet="3" activeTab="9" xr2:uid="{00000000-000D-0000-FFFF-FFFF00000000}"/>
  </bookViews>
  <sheets>
    <sheet name="Run 1 Gen 1 " sheetId="2" r:id="rId1"/>
    <sheet name="Run 2 Gen 1+2" sheetId="3" r:id="rId2"/>
    <sheet name="Run 3 Zeolite  " sheetId="4" r:id="rId3"/>
    <sheet name="Run 4 Gen 1 + Zeolite " sheetId="5" r:id="rId4"/>
    <sheet name="Run 5 Gen 1+Gen 2.2+ Zeolite" sheetId="6" r:id="rId5"/>
    <sheet name="Run 3, 4, and 5" sheetId="12" state="hidden" r:id="rId6"/>
    <sheet name="All Run" sheetId="7" r:id="rId7"/>
    <sheet name="All Run w Tables" sheetId="17" r:id="rId8"/>
    <sheet name="Effieciency" sheetId="19" state="hidden" r:id="rId9"/>
    <sheet name="UAE Results" sheetId="15" r:id="rId10"/>
    <sheet name="Dashboard" sheetId="18" state="hidden" r:id="rId11"/>
    <sheet name="Run 3, 4, and 5 (2)" sheetId="13" state="hidden" r:id="rId12"/>
    <sheet name="Graph reserve" sheetId="11" state="hidden" r:id="rId13"/>
    <sheet name="UAE" sheetId="10" state="hidden" r:id="rId14"/>
    <sheet name="Run 1 Gen 1 with 10%, 17.1% (2)" sheetId="8" state="hidden" r:id="rId15"/>
    <sheet name="Reserved" sheetId="9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yBSfPm2urIMvBLg2KGTTP8DxVOLsH2xzIsSpzewkjns="/>
    </ext>
  </extLst>
</workbook>
</file>

<file path=xl/calcChain.xml><?xml version="1.0" encoding="utf-8"?>
<calcChain xmlns="http://schemas.openxmlformats.org/spreadsheetml/2006/main">
  <c r="M20" i="7" l="1"/>
  <c r="F20" i="7"/>
  <c r="U107" i="17"/>
  <c r="G196" i="17"/>
  <c r="G195" i="17"/>
  <c r="F196" i="17"/>
  <c r="F195" i="17"/>
  <c r="BJ102" i="15"/>
  <c r="BJ101" i="15"/>
  <c r="BJ110" i="15"/>
  <c r="BJ109" i="15"/>
  <c r="BJ108" i="15"/>
  <c r="BJ107" i="15"/>
  <c r="BJ106" i="15"/>
  <c r="BJ105" i="15"/>
  <c r="BJ104" i="15"/>
  <c r="BJ103" i="15"/>
  <c r="R9" i="7"/>
  <c r="R8" i="7"/>
  <c r="R7" i="7"/>
  <c r="R6" i="7"/>
  <c r="S6" i="7" s="1"/>
  <c r="R5" i="7"/>
  <c r="R4" i="7"/>
  <c r="S4" i="7" s="1"/>
  <c r="R3" i="7"/>
  <c r="R2" i="7"/>
  <c r="D106" i="17"/>
  <c r="D63" i="17"/>
  <c r="D7" i="17"/>
  <c r="D8" i="17" s="1"/>
  <c r="D9" i="17" s="1"/>
  <c r="D10" i="17" s="1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95" i="17" s="1"/>
  <c r="D96" i="17" s="1"/>
  <c r="D97" i="17" s="1"/>
  <c r="D98" i="17" s="1"/>
  <c r="D99" i="17" s="1"/>
  <c r="D100" i="17" s="1"/>
  <c r="D101" i="17" s="1"/>
  <c r="D102" i="17" s="1"/>
  <c r="D103" i="17" s="1"/>
  <c r="D104" i="17" s="1"/>
  <c r="D105" i="17" s="1"/>
  <c r="D107" i="17" s="1"/>
  <c r="D6" i="17"/>
  <c r="S88" i="17"/>
  <c r="L88" i="17"/>
  <c r="H88" i="17"/>
  <c r="M88" i="17" s="1"/>
  <c r="O88" i="17" s="1"/>
  <c r="S87" i="17"/>
  <c r="L87" i="17"/>
  <c r="H87" i="17"/>
  <c r="S86" i="17"/>
  <c r="M86" i="17"/>
  <c r="O86" i="17" s="1"/>
  <c r="L86" i="17"/>
  <c r="H86" i="17"/>
  <c r="S85" i="17"/>
  <c r="U85" i="17" s="1"/>
  <c r="L85" i="17"/>
  <c r="H85" i="17"/>
  <c r="M85" i="17" s="1"/>
  <c r="O85" i="17" s="1"/>
  <c r="S84" i="17"/>
  <c r="L84" i="17"/>
  <c r="H84" i="17"/>
  <c r="M84" i="17" s="1"/>
  <c r="O84" i="17" s="1"/>
  <c r="S83" i="17"/>
  <c r="L83" i="17"/>
  <c r="H83" i="17"/>
  <c r="M83" i="17" s="1"/>
  <c r="O83" i="17" s="1"/>
  <c r="S82" i="17"/>
  <c r="L82" i="17"/>
  <c r="H82" i="17"/>
  <c r="S81" i="17"/>
  <c r="L81" i="17"/>
  <c r="H81" i="17"/>
  <c r="S80" i="17"/>
  <c r="L80" i="17"/>
  <c r="H80" i="17"/>
  <c r="M80" i="17" s="1"/>
  <c r="O80" i="17" s="1"/>
  <c r="S79" i="17"/>
  <c r="L79" i="17"/>
  <c r="H79" i="17"/>
  <c r="S78" i="17"/>
  <c r="L78" i="17"/>
  <c r="H78" i="17"/>
  <c r="M78" i="17" s="1"/>
  <c r="O78" i="17" s="1"/>
  <c r="L77" i="17"/>
  <c r="H77" i="17"/>
  <c r="S76" i="17"/>
  <c r="L76" i="17"/>
  <c r="H76" i="17"/>
  <c r="S75" i="17"/>
  <c r="L75" i="17"/>
  <c r="H75" i="17"/>
  <c r="S74" i="17"/>
  <c r="L74" i="17"/>
  <c r="H74" i="17"/>
  <c r="S73" i="17"/>
  <c r="L73" i="17"/>
  <c r="H73" i="17"/>
  <c r="M73" i="17" s="1"/>
  <c r="O73" i="17" s="1"/>
  <c r="H35" i="17"/>
  <c r="S72" i="17"/>
  <c r="L72" i="17"/>
  <c r="H72" i="17"/>
  <c r="M72" i="17" s="1"/>
  <c r="O72" i="17" s="1"/>
  <c r="S71" i="17"/>
  <c r="L71" i="17"/>
  <c r="H71" i="17"/>
  <c r="S70" i="17"/>
  <c r="L70" i="17"/>
  <c r="H70" i="17"/>
  <c r="M70" i="17" s="1"/>
  <c r="U70" i="17" s="1"/>
  <c r="S69" i="17"/>
  <c r="L69" i="17"/>
  <c r="H69" i="17"/>
  <c r="M69" i="17" s="1"/>
  <c r="O69" i="17" s="1"/>
  <c r="S68" i="17"/>
  <c r="L68" i="17"/>
  <c r="H68" i="17"/>
  <c r="S67" i="17"/>
  <c r="L67" i="17"/>
  <c r="M67" i="17" s="1"/>
  <c r="O67" i="17" s="1"/>
  <c r="H67" i="17"/>
  <c r="S66" i="17"/>
  <c r="L66" i="17"/>
  <c r="H66" i="17"/>
  <c r="S65" i="17"/>
  <c r="L65" i="17"/>
  <c r="H65" i="17"/>
  <c r="S64" i="17"/>
  <c r="L64" i="17"/>
  <c r="H64" i="17"/>
  <c r="M64" i="17" s="1"/>
  <c r="O64" i="17" s="1"/>
  <c r="S63" i="17"/>
  <c r="L63" i="17"/>
  <c r="H63" i="17"/>
  <c r="S62" i="17"/>
  <c r="L62" i="17"/>
  <c r="H62" i="17"/>
  <c r="S61" i="17"/>
  <c r="L61" i="17"/>
  <c r="H61" i="17"/>
  <c r="M61" i="17" s="1"/>
  <c r="O61" i="17" s="1"/>
  <c r="S60" i="17"/>
  <c r="L60" i="17"/>
  <c r="H60" i="17"/>
  <c r="S59" i="17"/>
  <c r="L59" i="17"/>
  <c r="H59" i="17"/>
  <c r="S58" i="17"/>
  <c r="L58" i="17"/>
  <c r="H58" i="17"/>
  <c r="S57" i="17"/>
  <c r="L57" i="17"/>
  <c r="H57" i="17"/>
  <c r="S56" i="17"/>
  <c r="L56" i="17"/>
  <c r="H56" i="17"/>
  <c r="M56" i="17" s="1"/>
  <c r="O56" i="17" s="1"/>
  <c r="S55" i="17"/>
  <c r="L55" i="17"/>
  <c r="H55" i="17"/>
  <c r="S54" i="17"/>
  <c r="L54" i="17"/>
  <c r="H54" i="17"/>
  <c r="M54" i="17" s="1"/>
  <c r="O54" i="17" s="1"/>
  <c r="S53" i="17"/>
  <c r="L53" i="17"/>
  <c r="H53" i="17"/>
  <c r="M53" i="17" s="1"/>
  <c r="O53" i="17" s="1"/>
  <c r="S52" i="17"/>
  <c r="L52" i="17"/>
  <c r="H52" i="17"/>
  <c r="S51" i="17"/>
  <c r="L51" i="17"/>
  <c r="H51" i="17"/>
  <c r="S50" i="17"/>
  <c r="L50" i="17"/>
  <c r="H50" i="17"/>
  <c r="S49" i="17"/>
  <c r="L49" i="17"/>
  <c r="H49" i="17"/>
  <c r="S48" i="17"/>
  <c r="L48" i="17"/>
  <c r="H48" i="17"/>
  <c r="S47" i="17"/>
  <c r="L47" i="17"/>
  <c r="H47" i="17"/>
  <c r="M47" i="17" s="1"/>
  <c r="O47" i="17" s="1"/>
  <c r="S46" i="17"/>
  <c r="L46" i="17"/>
  <c r="H46" i="17"/>
  <c r="M46" i="17" s="1"/>
  <c r="O46" i="17" s="1"/>
  <c r="S45" i="17"/>
  <c r="L45" i="17"/>
  <c r="H45" i="17"/>
  <c r="S44" i="17"/>
  <c r="L44" i="17"/>
  <c r="H44" i="17"/>
  <c r="S43" i="17"/>
  <c r="L43" i="17"/>
  <c r="H43" i="17"/>
  <c r="S42" i="17"/>
  <c r="L42" i="17"/>
  <c r="H42" i="17"/>
  <c r="S41" i="17"/>
  <c r="L41" i="17"/>
  <c r="H41" i="17"/>
  <c r="S40" i="17"/>
  <c r="L40" i="17"/>
  <c r="H40" i="17"/>
  <c r="M40" i="17" s="1"/>
  <c r="O40" i="17" s="1"/>
  <c r="S39" i="17"/>
  <c r="L39" i="17"/>
  <c r="H39" i="17"/>
  <c r="S38" i="17"/>
  <c r="L38" i="17"/>
  <c r="H38" i="17"/>
  <c r="S37" i="17"/>
  <c r="L37" i="17"/>
  <c r="H37" i="17"/>
  <c r="M37" i="17" s="1"/>
  <c r="O37" i="17" s="1"/>
  <c r="S36" i="17"/>
  <c r="T36" i="17" s="1"/>
  <c r="T37" i="17" s="1"/>
  <c r="L36" i="17"/>
  <c r="H36" i="17"/>
  <c r="S35" i="17"/>
  <c r="L35" i="17"/>
  <c r="M35" i="17"/>
  <c r="N35" i="17" s="1"/>
  <c r="U11" i="17"/>
  <c r="S34" i="17"/>
  <c r="S33" i="17"/>
  <c r="S32" i="17"/>
  <c r="S31" i="17"/>
  <c r="S30" i="17"/>
  <c r="S29" i="17"/>
  <c r="S28" i="17"/>
  <c r="S27" i="17"/>
  <c r="S26" i="17"/>
  <c r="S25" i="17"/>
  <c r="S24" i="17"/>
  <c r="S23" i="17"/>
  <c r="S22" i="17"/>
  <c r="S21" i="17"/>
  <c r="U21" i="17" s="1"/>
  <c r="S20" i="17"/>
  <c r="S19" i="17"/>
  <c r="S18" i="17"/>
  <c r="S17" i="17"/>
  <c r="S16" i="17"/>
  <c r="S15" i="17"/>
  <c r="S14" i="17"/>
  <c r="S13" i="17"/>
  <c r="S12" i="17"/>
  <c r="S11" i="17"/>
  <c r="S10" i="17"/>
  <c r="S8" i="17"/>
  <c r="S7" i="17"/>
  <c r="S6" i="17"/>
  <c r="S5" i="17"/>
  <c r="T5" i="17" s="1"/>
  <c r="R13" i="2"/>
  <c r="R20" i="2"/>
  <c r="R8" i="2"/>
  <c r="R9" i="2"/>
  <c r="R7" i="2"/>
  <c r="L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0" i="17"/>
  <c r="L19" i="17"/>
  <c r="M19" i="17" s="1"/>
  <c r="O19" i="17" s="1"/>
  <c r="L18" i="17"/>
  <c r="L17" i="17"/>
  <c r="L16" i="17"/>
  <c r="L15" i="17"/>
  <c r="L14" i="17"/>
  <c r="L13" i="17"/>
  <c r="L12" i="17"/>
  <c r="M12" i="17" s="1"/>
  <c r="U12" i="17" s="1"/>
  <c r="L10" i="17"/>
  <c r="M10" i="17" s="1"/>
  <c r="O10" i="17" s="1"/>
  <c r="L9" i="17"/>
  <c r="L8" i="17"/>
  <c r="L7" i="17"/>
  <c r="L6" i="17"/>
  <c r="H6" i="17"/>
  <c r="H7" i="17"/>
  <c r="M7" i="17" s="1"/>
  <c r="H8" i="17"/>
  <c r="M8" i="17" s="1"/>
  <c r="O8" i="17" s="1"/>
  <c r="H9" i="17"/>
  <c r="M9" i="17" s="1"/>
  <c r="H10" i="17"/>
  <c r="H12" i="17"/>
  <c r="H13" i="17"/>
  <c r="H14" i="17"/>
  <c r="M14" i="17" s="1"/>
  <c r="O14" i="17" s="1"/>
  <c r="H15" i="17"/>
  <c r="H16" i="17"/>
  <c r="M16" i="17" s="1"/>
  <c r="O16" i="17" s="1"/>
  <c r="H17" i="17"/>
  <c r="M17" i="17" s="1"/>
  <c r="H18" i="17"/>
  <c r="M18" i="17" s="1"/>
  <c r="O18" i="17" s="1"/>
  <c r="H19" i="17"/>
  <c r="H20" i="17"/>
  <c r="M20" i="17" s="1"/>
  <c r="O20" i="17" s="1"/>
  <c r="H22" i="17"/>
  <c r="H23" i="17"/>
  <c r="M23" i="17" s="1"/>
  <c r="H24" i="17"/>
  <c r="H25" i="17"/>
  <c r="M25" i="17" s="1"/>
  <c r="H26" i="17"/>
  <c r="H27" i="17"/>
  <c r="M27" i="17" s="1"/>
  <c r="H28" i="17"/>
  <c r="H29" i="17"/>
  <c r="M29" i="17" s="1"/>
  <c r="O29" i="17" s="1"/>
  <c r="H30" i="17"/>
  <c r="H31" i="17"/>
  <c r="M31" i="17" s="1"/>
  <c r="H32" i="17"/>
  <c r="H33" i="17"/>
  <c r="M33" i="17" s="1"/>
  <c r="H34" i="17"/>
  <c r="M34" i="17" s="1"/>
  <c r="O34" i="17" s="1"/>
  <c r="H5" i="17"/>
  <c r="M5" i="17" s="1"/>
  <c r="T89" i="17"/>
  <c r="L89" i="17"/>
  <c r="H89" i="17"/>
  <c r="E107" i="17"/>
  <c r="L106" i="17"/>
  <c r="H106" i="17"/>
  <c r="L105" i="17"/>
  <c r="H105" i="17"/>
  <c r="L104" i="17"/>
  <c r="H104" i="17"/>
  <c r="L103" i="17"/>
  <c r="H103" i="17"/>
  <c r="L102" i="17"/>
  <c r="H102" i="17"/>
  <c r="L101" i="17"/>
  <c r="H101" i="17"/>
  <c r="L100" i="17"/>
  <c r="H100" i="17"/>
  <c r="L99" i="17"/>
  <c r="H99" i="17"/>
  <c r="M99" i="17" s="1"/>
  <c r="L98" i="17"/>
  <c r="H98" i="17"/>
  <c r="L97" i="17"/>
  <c r="H97" i="17"/>
  <c r="L96" i="17"/>
  <c r="H96" i="17"/>
  <c r="L95" i="17"/>
  <c r="H95" i="17"/>
  <c r="M95" i="17" s="1"/>
  <c r="L94" i="17"/>
  <c r="H94" i="17"/>
  <c r="L93" i="17"/>
  <c r="M93" i="17" s="1"/>
  <c r="L92" i="17"/>
  <c r="H92" i="17"/>
  <c r="M92" i="17" s="1"/>
  <c r="L91" i="17"/>
  <c r="H91" i="17"/>
  <c r="L90" i="17"/>
  <c r="H90" i="17"/>
  <c r="M17" i="7"/>
  <c r="D43" i="3"/>
  <c r="I8" i="7"/>
  <c r="AS111" i="15"/>
  <c r="AS102" i="15"/>
  <c r="AS103" i="15"/>
  <c r="AS104" i="15"/>
  <c r="AS105" i="15"/>
  <c r="AS106" i="15"/>
  <c r="AS107" i="15"/>
  <c r="AS108" i="15"/>
  <c r="AS109" i="15"/>
  <c r="AS110" i="15"/>
  <c r="AS101" i="15"/>
  <c r="S8" i="7" l="1"/>
  <c r="S2" i="7"/>
  <c r="BJ111" i="15"/>
  <c r="U32" i="17"/>
  <c r="M38" i="17"/>
  <c r="O38" i="17" s="1"/>
  <c r="M41" i="17"/>
  <c r="O41" i="17" s="1"/>
  <c r="M49" i="17"/>
  <c r="O49" i="17" s="1"/>
  <c r="M62" i="17"/>
  <c r="U62" i="17" s="1"/>
  <c r="T76" i="17"/>
  <c r="T78" i="17" s="1"/>
  <c r="T79" i="17" s="1"/>
  <c r="T80" i="17" s="1"/>
  <c r="T81" i="17" s="1"/>
  <c r="T82" i="17" s="1"/>
  <c r="T83" i="17" s="1"/>
  <c r="T84" i="17" s="1"/>
  <c r="T85" i="17" s="1"/>
  <c r="T86" i="17" s="1"/>
  <c r="T87" i="17" s="1"/>
  <c r="T88" i="17" s="1"/>
  <c r="M79" i="17"/>
  <c r="O79" i="17" s="1"/>
  <c r="M82" i="17"/>
  <c r="U6" i="17"/>
  <c r="M32" i="17"/>
  <c r="O32" i="17" s="1"/>
  <c r="M24" i="17"/>
  <c r="O24" i="17" s="1"/>
  <c r="M15" i="17"/>
  <c r="O15" i="17" s="1"/>
  <c r="M6" i="17"/>
  <c r="O6" i="17" s="1"/>
  <c r="M36" i="17"/>
  <c r="N36" i="17" s="1"/>
  <c r="N37" i="17" s="1"/>
  <c r="N38" i="17" s="1"/>
  <c r="N39" i="17" s="1"/>
  <c r="N40" i="17" s="1"/>
  <c r="N41" i="17" s="1"/>
  <c r="N42" i="17" s="1"/>
  <c r="M44" i="17"/>
  <c r="M75" i="17"/>
  <c r="O75" i="17" s="1"/>
  <c r="M77" i="17"/>
  <c r="O77" i="17" s="1"/>
  <c r="U79" i="17"/>
  <c r="M87" i="17"/>
  <c r="O87" i="17" s="1"/>
  <c r="M26" i="17"/>
  <c r="O26" i="17" s="1"/>
  <c r="M97" i="17"/>
  <c r="M101" i="17"/>
  <c r="O101" i="17" s="1"/>
  <c r="M105" i="17"/>
  <c r="M30" i="17"/>
  <c r="O30" i="17" s="1"/>
  <c r="M22" i="17"/>
  <c r="O22" i="17" s="1"/>
  <c r="M13" i="17"/>
  <c r="O13" i="17" s="1"/>
  <c r="T38" i="17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9" i="17" s="1"/>
  <c r="T60" i="17" s="1"/>
  <c r="T61" i="17" s="1"/>
  <c r="T62" i="17" s="1"/>
  <c r="T63" i="17" s="1"/>
  <c r="T64" i="17" s="1"/>
  <c r="T65" i="17" s="1"/>
  <c r="T66" i="17" s="1"/>
  <c r="T67" i="17" s="1"/>
  <c r="T68" i="17" s="1"/>
  <c r="T69" i="17" s="1"/>
  <c r="T70" i="17" s="1"/>
  <c r="T71" i="17" s="1"/>
  <c r="T72" i="17" s="1"/>
  <c r="M42" i="17"/>
  <c r="O42" i="17" s="1"/>
  <c r="M58" i="17"/>
  <c r="O58" i="17" s="1"/>
  <c r="M63" i="17"/>
  <c r="O63" i="17" s="1"/>
  <c r="M66" i="17"/>
  <c r="U20" i="17"/>
  <c r="U28" i="17"/>
  <c r="U80" i="17"/>
  <c r="U13" i="17"/>
  <c r="M81" i="17"/>
  <c r="U81" i="17" s="1"/>
  <c r="M106" i="17"/>
  <c r="U106" i="17" s="1"/>
  <c r="M28" i="17"/>
  <c r="O28" i="17" s="1"/>
  <c r="U14" i="17"/>
  <c r="U22" i="17"/>
  <c r="U30" i="17"/>
  <c r="M51" i="17"/>
  <c r="O51" i="17" s="1"/>
  <c r="M59" i="17"/>
  <c r="O59" i="17" s="1"/>
  <c r="M74" i="17"/>
  <c r="O74" i="17" s="1"/>
  <c r="M76" i="17"/>
  <c r="U76" i="17" s="1"/>
  <c r="U83" i="17"/>
  <c r="O82" i="17"/>
  <c r="U82" i="17"/>
  <c r="U84" i="17"/>
  <c r="U87" i="17"/>
  <c r="O81" i="17"/>
  <c r="O76" i="17"/>
  <c r="U88" i="17"/>
  <c r="U78" i="17"/>
  <c r="U86" i="17"/>
  <c r="T90" i="17"/>
  <c r="T91" i="17" s="1"/>
  <c r="T92" i="17" s="1"/>
  <c r="T93" i="17" s="1"/>
  <c r="T94" i="17" s="1"/>
  <c r="T95" i="17" s="1"/>
  <c r="T96" i="17" s="1"/>
  <c r="T97" i="17" s="1"/>
  <c r="T98" i="17" s="1"/>
  <c r="T99" i="17" s="1"/>
  <c r="T100" i="17" s="1"/>
  <c r="T101" i="17" s="1"/>
  <c r="T102" i="17" s="1"/>
  <c r="T103" i="17" s="1"/>
  <c r="T104" i="17" s="1"/>
  <c r="T105" i="17" s="1"/>
  <c r="T106" i="17" s="1"/>
  <c r="T107" i="17" s="1"/>
  <c r="T6" i="17"/>
  <c r="T7" i="17" s="1"/>
  <c r="T8" i="17" s="1"/>
  <c r="T9" i="17" s="1"/>
  <c r="T10" i="17" s="1"/>
  <c r="T11" i="17" s="1"/>
  <c r="T12" i="17" s="1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O17" i="17"/>
  <c r="U17" i="17"/>
  <c r="O33" i="17"/>
  <c r="U33" i="17"/>
  <c r="U8" i="17"/>
  <c r="O5" i="17"/>
  <c r="N5" i="17"/>
  <c r="N6" i="17" s="1"/>
  <c r="N7" i="17" s="1"/>
  <c r="N8" i="17" s="1"/>
  <c r="N9" i="17" s="1"/>
  <c r="N10" i="17" s="1"/>
  <c r="N11" i="17" s="1"/>
  <c r="N12" i="17" s="1"/>
  <c r="N13" i="17" s="1"/>
  <c r="N14" i="17" s="1"/>
  <c r="U31" i="17"/>
  <c r="O31" i="17"/>
  <c r="O23" i="17"/>
  <c r="U23" i="17"/>
  <c r="U10" i="17"/>
  <c r="U18" i="17"/>
  <c r="U26" i="17"/>
  <c r="U34" i="17"/>
  <c r="U41" i="17"/>
  <c r="U27" i="17"/>
  <c r="O27" i="17"/>
  <c r="U9" i="17"/>
  <c r="O9" i="17"/>
  <c r="U25" i="17"/>
  <c r="O25" i="17"/>
  <c r="O7" i="17"/>
  <c r="U7" i="17"/>
  <c r="U16" i="17"/>
  <c r="U19" i="17"/>
  <c r="M43" i="17"/>
  <c r="O43" i="17" s="1"/>
  <c r="M48" i="17"/>
  <c r="O48" i="17" s="1"/>
  <c r="M50" i="17"/>
  <c r="O50" i="17" s="1"/>
  <c r="M55" i="17"/>
  <c r="O55" i="17" s="1"/>
  <c r="M60" i="17"/>
  <c r="O60" i="17" s="1"/>
  <c r="M65" i="17"/>
  <c r="O65" i="17" s="1"/>
  <c r="U73" i="17"/>
  <c r="M96" i="17"/>
  <c r="M100" i="17"/>
  <c r="O100" i="17" s="1"/>
  <c r="M104" i="17"/>
  <c r="U104" i="17" s="1"/>
  <c r="M89" i="17"/>
  <c r="U89" i="17" s="1"/>
  <c r="M39" i="17"/>
  <c r="O39" i="17" s="1"/>
  <c r="U60" i="17"/>
  <c r="M68" i="17"/>
  <c r="O68" i="17" s="1"/>
  <c r="U54" i="17"/>
  <c r="O12" i="17"/>
  <c r="U38" i="17"/>
  <c r="U29" i="17"/>
  <c r="U53" i="17"/>
  <c r="U58" i="17"/>
  <c r="U46" i="17"/>
  <c r="U67" i="17"/>
  <c r="U37" i="17"/>
  <c r="U51" i="17"/>
  <c r="U56" i="17"/>
  <c r="U61" i="17"/>
  <c r="M71" i="17"/>
  <c r="O71" i="17" s="1"/>
  <c r="M94" i="17"/>
  <c r="O94" i="17" s="1"/>
  <c r="M98" i="17"/>
  <c r="O98" i="17" s="1"/>
  <c r="M45" i="17"/>
  <c r="O45" i="17" s="1"/>
  <c r="M52" i="17"/>
  <c r="O52" i="17" s="1"/>
  <c r="M57" i="17"/>
  <c r="O57" i="17" s="1"/>
  <c r="U74" i="17"/>
  <c r="U75" i="17"/>
  <c r="N73" i="17"/>
  <c r="N74" i="17" s="1"/>
  <c r="N75" i="17" s="1"/>
  <c r="T73" i="17"/>
  <c r="T74" i="17" s="1"/>
  <c r="T75" i="17" s="1"/>
  <c r="U35" i="17"/>
  <c r="O35" i="17"/>
  <c r="O44" i="17"/>
  <c r="U44" i="17"/>
  <c r="O66" i="17"/>
  <c r="U66" i="17"/>
  <c r="U40" i="17"/>
  <c r="U64" i="17"/>
  <c r="O36" i="17"/>
  <c r="U47" i="17"/>
  <c r="U69" i="17"/>
  <c r="U72" i="17"/>
  <c r="O62" i="17"/>
  <c r="O70" i="17"/>
  <c r="L107" i="17"/>
  <c r="M102" i="17"/>
  <c r="U102" i="17" s="1"/>
  <c r="M90" i="17"/>
  <c r="O90" i="17" s="1"/>
  <c r="M103" i="17"/>
  <c r="U103" i="17" s="1"/>
  <c r="M91" i="17"/>
  <c r="O91" i="17" s="1"/>
  <c r="O92" i="17"/>
  <c r="U92" i="17"/>
  <c r="O97" i="17"/>
  <c r="U97" i="17"/>
  <c r="U105" i="17"/>
  <c r="O105" i="17"/>
  <c r="O93" i="17"/>
  <c r="U93" i="17"/>
  <c r="O104" i="17"/>
  <c r="O96" i="17"/>
  <c r="U96" i="17"/>
  <c r="U98" i="17"/>
  <c r="O102" i="17"/>
  <c r="O106" i="17"/>
  <c r="O95" i="17"/>
  <c r="U95" i="17"/>
  <c r="O99" i="17"/>
  <c r="U99" i="17"/>
  <c r="O103" i="17"/>
  <c r="U91" i="17"/>
  <c r="H107" i="17"/>
  <c r="D73" i="12"/>
  <c r="D72" i="12"/>
  <c r="F73" i="12"/>
  <c r="F72" i="12"/>
  <c r="B73" i="12"/>
  <c r="B72" i="12"/>
  <c r="AG75" i="12"/>
  <c r="AI74" i="12" s="1"/>
  <c r="AG74" i="12"/>
  <c r="U59" i="17" l="1"/>
  <c r="U36" i="17"/>
  <c r="U55" i="17"/>
  <c r="N15" i="17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U15" i="17"/>
  <c r="U101" i="17"/>
  <c r="U65" i="17"/>
  <c r="U57" i="17"/>
  <c r="U49" i="17"/>
  <c r="U63" i="17"/>
  <c r="U39" i="17"/>
  <c r="U24" i="17"/>
  <c r="U42" i="17"/>
  <c r="N76" i="17"/>
  <c r="N77" i="17" s="1"/>
  <c r="N78" i="17" s="1"/>
  <c r="N79" i="17" s="1"/>
  <c r="N80" i="17" s="1"/>
  <c r="N81" i="17" s="1"/>
  <c r="N82" i="17" s="1"/>
  <c r="N83" i="17" s="1"/>
  <c r="N84" i="17" s="1"/>
  <c r="N85" i="17" s="1"/>
  <c r="N86" i="17" s="1"/>
  <c r="N87" i="17" s="1"/>
  <c r="N88" i="17" s="1"/>
  <c r="U94" i="17"/>
  <c r="U100" i="17"/>
  <c r="O89" i="17"/>
  <c r="U52" i="17"/>
  <c r="N89" i="17"/>
  <c r="U45" i="17"/>
  <c r="U71" i="17"/>
  <c r="U50" i="17"/>
  <c r="N43" i="17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U43" i="17"/>
  <c r="U48" i="17"/>
  <c r="U68" i="17"/>
  <c r="U5" i="17"/>
  <c r="M107" i="17"/>
  <c r="N90" i="17"/>
  <c r="N91" i="17" s="1"/>
  <c r="N92" i="17" s="1"/>
  <c r="N93" i="17" s="1"/>
  <c r="N94" i="17" s="1"/>
  <c r="N95" i="17" s="1"/>
  <c r="N96" i="17" s="1"/>
  <c r="N97" i="17" s="1"/>
  <c r="N98" i="17" s="1"/>
  <c r="N99" i="17" s="1"/>
  <c r="N100" i="17" s="1"/>
  <c r="N101" i="17" s="1"/>
  <c r="N102" i="17" s="1"/>
  <c r="N103" i="17" s="1"/>
  <c r="N104" i="17" s="1"/>
  <c r="N105" i="17" s="1"/>
  <c r="N106" i="17" s="1"/>
  <c r="N107" i="17" s="1"/>
  <c r="O107" i="17"/>
  <c r="N7" i="6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C16" i="7"/>
  <c r="C14" i="7"/>
  <c r="C15" i="7"/>
  <c r="C12" i="7"/>
  <c r="E23" i="6"/>
  <c r="E18" i="5"/>
  <c r="E8" i="4"/>
  <c r="E43" i="3"/>
  <c r="C13" i="7" s="1"/>
  <c r="E37" i="2"/>
  <c r="F16" i="7"/>
  <c r="F15" i="7"/>
  <c r="F14" i="7"/>
  <c r="F12" i="7"/>
  <c r="H23" i="6"/>
  <c r="H18" i="5"/>
  <c r="H8" i="4"/>
  <c r="K37" i="2"/>
  <c r="C17" i="7" l="1"/>
  <c r="T23" i="6"/>
  <c r="D22" i="6"/>
  <c r="D23" i="6" s="1"/>
  <c r="BO39" i="15" l="1"/>
  <c r="BN39" i="15"/>
  <c r="BM39" i="15"/>
  <c r="BL39" i="15"/>
  <c r="BK39" i="15"/>
  <c r="BJ39" i="15"/>
  <c r="BI39" i="15"/>
  <c r="BO26" i="15"/>
  <c r="BN26" i="15"/>
  <c r="BM26" i="15"/>
  <c r="BL26" i="15"/>
  <c r="BK26" i="15"/>
  <c r="BJ26" i="15"/>
  <c r="BI26" i="15"/>
  <c r="BO13" i="15"/>
  <c r="BN13" i="15"/>
  <c r="BM13" i="15"/>
  <c r="BL13" i="15"/>
  <c r="BK13" i="15"/>
  <c r="BJ13" i="15"/>
  <c r="BI13" i="15"/>
  <c r="AZ39" i="15" l="1"/>
  <c r="AY39" i="15"/>
  <c r="AX39" i="15"/>
  <c r="AW39" i="15"/>
  <c r="AV39" i="15"/>
  <c r="AU39" i="15"/>
  <c r="AT39" i="15"/>
  <c r="AZ26" i="15"/>
  <c r="AY26" i="15"/>
  <c r="AX26" i="15"/>
  <c r="AW26" i="15"/>
  <c r="AV26" i="15"/>
  <c r="AU26" i="15"/>
  <c r="AT26" i="15"/>
  <c r="AZ13" i="15"/>
  <c r="AY13" i="15"/>
  <c r="AX13" i="15"/>
  <c r="AW13" i="15"/>
  <c r="AV13" i="15"/>
  <c r="AU13" i="15"/>
  <c r="AT13" i="15"/>
  <c r="J39" i="15" l="1"/>
  <c r="I39" i="15"/>
  <c r="H39" i="15"/>
  <c r="G39" i="15"/>
  <c r="F39" i="15"/>
  <c r="E39" i="15"/>
  <c r="D39" i="15"/>
  <c r="J26" i="15"/>
  <c r="I26" i="15"/>
  <c r="H26" i="15"/>
  <c r="G26" i="15"/>
  <c r="F26" i="15"/>
  <c r="E26" i="15"/>
  <c r="D26" i="15"/>
  <c r="J13" i="15"/>
  <c r="I13" i="15"/>
  <c r="H13" i="15"/>
  <c r="G13" i="15"/>
  <c r="F13" i="15"/>
  <c r="E13" i="15"/>
  <c r="D13" i="15"/>
  <c r="W39" i="15" l="1"/>
  <c r="V39" i="15"/>
  <c r="U39" i="15"/>
  <c r="T39" i="15"/>
  <c r="S39" i="15"/>
  <c r="R39" i="15"/>
  <c r="Q39" i="15"/>
  <c r="W26" i="15"/>
  <c r="V26" i="15"/>
  <c r="U26" i="15"/>
  <c r="T26" i="15"/>
  <c r="S26" i="15"/>
  <c r="R26" i="15"/>
  <c r="Q26" i="15"/>
  <c r="W13" i="15"/>
  <c r="V13" i="15"/>
  <c r="U13" i="15"/>
  <c r="T13" i="15"/>
  <c r="S13" i="15"/>
  <c r="R13" i="15"/>
  <c r="Q13" i="15"/>
  <c r="AJ39" i="15" l="1"/>
  <c r="AH39" i="15"/>
  <c r="AG39" i="15"/>
  <c r="AF39" i="15"/>
  <c r="AE39" i="15"/>
  <c r="AD39" i="15"/>
  <c r="AJ26" i="15"/>
  <c r="AI26" i="15"/>
  <c r="AH26" i="15"/>
  <c r="AG26" i="15"/>
  <c r="AF26" i="15"/>
  <c r="AE26" i="15"/>
  <c r="AD26" i="15"/>
  <c r="AJ13" i="15"/>
  <c r="AI13" i="15"/>
  <c r="AH13" i="15"/>
  <c r="AG13" i="15"/>
  <c r="AF13" i="15"/>
  <c r="AE13" i="15"/>
  <c r="AD13" i="15"/>
  <c r="L38" i="13" l="1"/>
  <c r="H38" i="13"/>
  <c r="M38" i="13" s="1"/>
  <c r="L37" i="13"/>
  <c r="H37" i="13"/>
  <c r="M37" i="13" s="1"/>
  <c r="L36" i="13"/>
  <c r="H36" i="13"/>
  <c r="M36" i="13" s="1"/>
  <c r="L35" i="13"/>
  <c r="H35" i="13"/>
  <c r="M35" i="13" s="1"/>
  <c r="L34" i="13"/>
  <c r="H34" i="13"/>
  <c r="M34" i="13" s="1"/>
  <c r="L33" i="13"/>
  <c r="H33" i="13"/>
  <c r="M33" i="13" s="1"/>
  <c r="L32" i="13"/>
  <c r="H32" i="13"/>
  <c r="M32" i="13" s="1"/>
  <c r="L31" i="13"/>
  <c r="H31" i="13"/>
  <c r="M31" i="13" s="1"/>
  <c r="L30" i="13"/>
  <c r="H30" i="13"/>
  <c r="M30" i="13" s="1"/>
  <c r="L29" i="13"/>
  <c r="H29" i="13"/>
  <c r="M29" i="13" s="1"/>
  <c r="L28" i="13"/>
  <c r="H28" i="13"/>
  <c r="M28" i="13" s="1"/>
  <c r="L27" i="13"/>
  <c r="H27" i="13"/>
  <c r="M27" i="13" s="1"/>
  <c r="L26" i="13"/>
  <c r="H26" i="13"/>
  <c r="M26" i="13" s="1"/>
  <c r="L25" i="13"/>
  <c r="H25" i="13"/>
  <c r="M25" i="13" s="1"/>
  <c r="L24" i="13"/>
  <c r="H24" i="13"/>
  <c r="M24" i="13" s="1"/>
  <c r="L23" i="13"/>
  <c r="H23" i="13"/>
  <c r="M23" i="13" s="1"/>
  <c r="L22" i="13"/>
  <c r="H22" i="13"/>
  <c r="M22" i="13" s="1"/>
  <c r="L21" i="13"/>
  <c r="H21" i="13"/>
  <c r="M21" i="13" s="1"/>
  <c r="L20" i="13"/>
  <c r="H20" i="13"/>
  <c r="M20" i="13" s="1"/>
  <c r="L19" i="13"/>
  <c r="H19" i="13"/>
  <c r="M19" i="13" s="1"/>
  <c r="L18" i="13"/>
  <c r="H18" i="13"/>
  <c r="M18" i="13" s="1"/>
  <c r="L17" i="13"/>
  <c r="H17" i="13"/>
  <c r="M17" i="13" s="1"/>
  <c r="L16" i="13"/>
  <c r="H16" i="13"/>
  <c r="M16" i="13" s="1"/>
  <c r="L15" i="13"/>
  <c r="H15" i="13"/>
  <c r="M15" i="13" s="1"/>
  <c r="L14" i="13"/>
  <c r="H14" i="13"/>
  <c r="M14" i="13" s="1"/>
  <c r="L13" i="13"/>
  <c r="H13" i="13"/>
  <c r="M13" i="13" s="1"/>
  <c r="L12" i="13"/>
  <c r="H12" i="13"/>
  <c r="M12" i="13" s="1"/>
  <c r="L11" i="13"/>
  <c r="H11" i="13"/>
  <c r="M11" i="13" s="1"/>
  <c r="L10" i="13"/>
  <c r="H10" i="13"/>
  <c r="M10" i="13" s="1"/>
  <c r="L9" i="13"/>
  <c r="M9" i="13" s="1"/>
  <c r="L8" i="13"/>
  <c r="H8" i="13"/>
  <c r="M8" i="13" s="1"/>
  <c r="L7" i="13"/>
  <c r="H7" i="13"/>
  <c r="M7" i="13" s="1"/>
  <c r="L6" i="13"/>
  <c r="H6" i="13"/>
  <c r="M6" i="13" s="1"/>
  <c r="O6" i="13" s="1"/>
  <c r="T5" i="13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L5" i="13"/>
  <c r="L39" i="13" s="1"/>
  <c r="H5" i="13"/>
  <c r="M5" i="13" s="1"/>
  <c r="D5" i="13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L21" i="6"/>
  <c r="H21" i="6"/>
  <c r="M21" i="6" s="1"/>
  <c r="O21" i="6" l="1"/>
  <c r="U21" i="6"/>
  <c r="O15" i="13"/>
  <c r="U15" i="13"/>
  <c r="O35" i="13"/>
  <c r="U35" i="13"/>
  <c r="O7" i="13"/>
  <c r="U7" i="13"/>
  <c r="O19" i="13"/>
  <c r="U19" i="13"/>
  <c r="O24" i="13"/>
  <c r="U24" i="13"/>
  <c r="O36" i="13"/>
  <c r="U36" i="13"/>
  <c r="O8" i="13"/>
  <c r="U8" i="13"/>
  <c r="O27" i="13"/>
  <c r="U27" i="13"/>
  <c r="O20" i="13"/>
  <c r="U20" i="13"/>
  <c r="O25" i="13"/>
  <c r="U25" i="13"/>
  <c r="O29" i="13"/>
  <c r="U29" i="13"/>
  <c r="O37" i="13"/>
  <c r="U37" i="13"/>
  <c r="O11" i="13"/>
  <c r="U11" i="13"/>
  <c r="O31" i="13"/>
  <c r="U31" i="13"/>
  <c r="O16" i="13"/>
  <c r="U16" i="13"/>
  <c r="O32" i="13"/>
  <c r="U32" i="13"/>
  <c r="O13" i="13"/>
  <c r="U13" i="13"/>
  <c r="O21" i="13"/>
  <c r="U21" i="13"/>
  <c r="O33" i="13"/>
  <c r="U33" i="13"/>
  <c r="O9" i="13"/>
  <c r="U9" i="13"/>
  <c r="T39" i="13"/>
  <c r="T24" i="13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O10" i="13"/>
  <c r="U10" i="13"/>
  <c r="O14" i="13"/>
  <c r="U14" i="13"/>
  <c r="O18" i="13"/>
  <c r="U18" i="13"/>
  <c r="O22" i="13"/>
  <c r="U22" i="13"/>
  <c r="O26" i="13"/>
  <c r="U26" i="13"/>
  <c r="O30" i="13"/>
  <c r="U30" i="13"/>
  <c r="O34" i="13"/>
  <c r="U34" i="13"/>
  <c r="O38" i="13"/>
  <c r="U38" i="13"/>
  <c r="O23" i="13"/>
  <c r="U23" i="13"/>
  <c r="O12" i="13"/>
  <c r="U12" i="13"/>
  <c r="O28" i="13"/>
  <c r="U28" i="13"/>
  <c r="N5" i="13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M39" i="13"/>
  <c r="O5" i="13"/>
  <c r="O39" i="13" s="1"/>
  <c r="U5" i="13"/>
  <c r="O17" i="13"/>
  <c r="U17" i="13"/>
  <c r="H39" i="13"/>
  <c r="T5" i="12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D5" i="12"/>
  <c r="H26" i="12"/>
  <c r="L26" i="12"/>
  <c r="H27" i="12"/>
  <c r="L27" i="12"/>
  <c r="H28" i="12"/>
  <c r="L28" i="12"/>
  <c r="H29" i="12"/>
  <c r="L29" i="12"/>
  <c r="H30" i="12"/>
  <c r="L30" i="12"/>
  <c r="H31" i="12"/>
  <c r="L31" i="12"/>
  <c r="H32" i="12"/>
  <c r="L32" i="12"/>
  <c r="H33" i="12"/>
  <c r="L33" i="12"/>
  <c r="H34" i="12"/>
  <c r="L34" i="12"/>
  <c r="H35" i="12"/>
  <c r="L35" i="12"/>
  <c r="H36" i="12"/>
  <c r="L36" i="12"/>
  <c r="H37" i="12"/>
  <c r="L37" i="12"/>
  <c r="H38" i="12"/>
  <c r="L38" i="12"/>
  <c r="L25" i="12"/>
  <c r="H25" i="12"/>
  <c r="L24" i="12"/>
  <c r="H24" i="12"/>
  <c r="L23" i="12"/>
  <c r="H23" i="12"/>
  <c r="L22" i="12"/>
  <c r="H22" i="12"/>
  <c r="L21" i="12"/>
  <c r="H21" i="12"/>
  <c r="L20" i="12"/>
  <c r="H20" i="12"/>
  <c r="L19" i="12"/>
  <c r="H19" i="12"/>
  <c r="L18" i="12"/>
  <c r="H18" i="12"/>
  <c r="L17" i="12"/>
  <c r="H17" i="12"/>
  <c r="L16" i="12"/>
  <c r="H16" i="12"/>
  <c r="L15" i="12"/>
  <c r="H15" i="12"/>
  <c r="L14" i="12"/>
  <c r="H14" i="12"/>
  <c r="L13" i="12"/>
  <c r="H13" i="12"/>
  <c r="L12" i="12"/>
  <c r="H12" i="12"/>
  <c r="L11" i="12"/>
  <c r="H11" i="12"/>
  <c r="L10" i="12"/>
  <c r="H10" i="12"/>
  <c r="L9" i="12"/>
  <c r="L8" i="12"/>
  <c r="H8" i="12"/>
  <c r="L7" i="12"/>
  <c r="H7" i="12"/>
  <c r="L6" i="12"/>
  <c r="H6" i="12"/>
  <c r="L5" i="12"/>
  <c r="H5" i="12"/>
  <c r="D6" i="12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AF7" i="2"/>
  <c r="H39" i="12" l="1"/>
  <c r="M21" i="12"/>
  <c r="M25" i="12"/>
  <c r="M38" i="12"/>
  <c r="O38" i="12" s="1"/>
  <c r="N39" i="13"/>
  <c r="N24" i="13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M37" i="12"/>
  <c r="U37" i="12" s="1"/>
  <c r="M36" i="12"/>
  <c r="O36" i="12" s="1"/>
  <c r="M32" i="12"/>
  <c r="M27" i="12"/>
  <c r="M34" i="12"/>
  <c r="O34" i="12" s="1"/>
  <c r="M30" i="12"/>
  <c r="U30" i="12" s="1"/>
  <c r="M28" i="12"/>
  <c r="U28" i="12" s="1"/>
  <c r="M31" i="12"/>
  <c r="U31" i="12" s="1"/>
  <c r="M23" i="12"/>
  <c r="O23" i="12" s="1"/>
  <c r="M26" i="12"/>
  <c r="U26" i="12" s="1"/>
  <c r="M35" i="12"/>
  <c r="O35" i="12" s="1"/>
  <c r="M33" i="12"/>
  <c r="M29" i="12"/>
  <c r="U29" i="12" s="1"/>
  <c r="M11" i="12"/>
  <c r="M15" i="12"/>
  <c r="M17" i="12"/>
  <c r="M19" i="12"/>
  <c r="U19" i="12" s="1"/>
  <c r="O27" i="12"/>
  <c r="U27" i="12"/>
  <c r="U32" i="12"/>
  <c r="O32" i="12"/>
  <c r="O29" i="12"/>
  <c r="U34" i="12"/>
  <c r="O31" i="12"/>
  <c r="O33" i="12"/>
  <c r="U33" i="12"/>
  <c r="U36" i="12"/>
  <c r="M14" i="12"/>
  <c r="U14" i="12" s="1"/>
  <c r="M18" i="12"/>
  <c r="U18" i="12" s="1"/>
  <c r="M22" i="12"/>
  <c r="O22" i="12" s="1"/>
  <c r="M7" i="12"/>
  <c r="U7" i="12" s="1"/>
  <c r="M5" i="12"/>
  <c r="M13" i="12"/>
  <c r="O13" i="12" s="1"/>
  <c r="M8" i="12"/>
  <c r="U8" i="12" s="1"/>
  <c r="M6" i="12"/>
  <c r="O6" i="12" s="1"/>
  <c r="M12" i="12"/>
  <c r="U12" i="12" s="1"/>
  <c r="M16" i="12"/>
  <c r="U16" i="12" s="1"/>
  <c r="M20" i="12"/>
  <c r="O20" i="12" s="1"/>
  <c r="M24" i="12"/>
  <c r="O24" i="12" s="1"/>
  <c r="L39" i="12"/>
  <c r="O11" i="12"/>
  <c r="U11" i="12"/>
  <c r="O19" i="12"/>
  <c r="U23" i="12"/>
  <c r="T39" i="12"/>
  <c r="T24" i="12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O17" i="12"/>
  <c r="U17" i="12"/>
  <c r="O21" i="12"/>
  <c r="U21" i="12"/>
  <c r="O25" i="12"/>
  <c r="U25" i="12"/>
  <c r="D24" i="12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M9" i="12"/>
  <c r="M10" i="12"/>
  <c r="C43" i="3"/>
  <c r="T7" i="4"/>
  <c r="T6" i="4"/>
  <c r="T5" i="4"/>
  <c r="AA42" i="10"/>
  <c r="O41" i="10"/>
  <c r="N41" i="10"/>
  <c r="M41" i="10"/>
  <c r="L41" i="10"/>
  <c r="K41" i="10"/>
  <c r="J41" i="10"/>
  <c r="I41" i="10"/>
  <c r="O28" i="10"/>
  <c r="N28" i="10"/>
  <c r="M28" i="10"/>
  <c r="L28" i="10"/>
  <c r="K28" i="10"/>
  <c r="J28" i="10"/>
  <c r="I28" i="10"/>
  <c r="AA16" i="10"/>
  <c r="O15" i="10"/>
  <c r="N15" i="10"/>
  <c r="M15" i="10"/>
  <c r="L15" i="10"/>
  <c r="K15" i="10"/>
  <c r="J15" i="10"/>
  <c r="I15" i="10"/>
  <c r="U5" i="12" l="1"/>
  <c r="N5" i="12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O15" i="12"/>
  <c r="U15" i="12"/>
  <c r="U38" i="12"/>
  <c r="T37" i="12"/>
  <c r="T38" i="12" s="1"/>
  <c r="U35" i="12"/>
  <c r="O37" i="12"/>
  <c r="O28" i="12"/>
  <c r="O30" i="12"/>
  <c r="O26" i="12"/>
  <c r="U22" i="12"/>
  <c r="O12" i="12"/>
  <c r="O18" i="12"/>
  <c r="O14" i="12"/>
  <c r="O7" i="12"/>
  <c r="U13" i="12"/>
  <c r="O5" i="12"/>
  <c r="O8" i="12"/>
  <c r="O16" i="12"/>
  <c r="U24" i="12"/>
  <c r="U20" i="12"/>
  <c r="O10" i="12"/>
  <c r="U10" i="12"/>
  <c r="O9" i="12"/>
  <c r="U9" i="12"/>
  <c r="M6" i="7"/>
  <c r="M5" i="7"/>
  <c r="D18" i="5"/>
  <c r="C6" i="7"/>
  <c r="O39" i="12" l="1"/>
  <c r="H23" i="9"/>
  <c r="C23" i="9"/>
  <c r="C36" i="8"/>
  <c r="AO35" i="8"/>
  <c r="AL35" i="8"/>
  <c r="AF35" i="8"/>
  <c r="AC35" i="8"/>
  <c r="P35" i="8"/>
  <c r="L35" i="8"/>
  <c r="S35" i="8" s="1"/>
  <c r="Y35" i="8" s="1"/>
  <c r="K35" i="8"/>
  <c r="R35" i="8" s="1"/>
  <c r="X35" i="8" s="1"/>
  <c r="J35" i="8"/>
  <c r="Q35" i="8" s="1"/>
  <c r="W35" i="8" s="1"/>
  <c r="AO34" i="8"/>
  <c r="AL34" i="8"/>
  <c r="AC34" i="8"/>
  <c r="P34" i="8"/>
  <c r="L34" i="8"/>
  <c r="S34" i="8" s="1"/>
  <c r="Y34" i="8" s="1"/>
  <c r="K34" i="8"/>
  <c r="R34" i="8" s="1"/>
  <c r="X34" i="8" s="1"/>
  <c r="J34" i="8"/>
  <c r="Q34" i="8" s="1"/>
  <c r="AO33" i="8"/>
  <c r="AL33" i="8"/>
  <c r="AC33" i="8"/>
  <c r="Y33" i="8"/>
  <c r="R33" i="8"/>
  <c r="X33" i="8" s="1"/>
  <c r="P33" i="8"/>
  <c r="L33" i="8"/>
  <c r="S33" i="8" s="1"/>
  <c r="K33" i="8"/>
  <c r="J33" i="8"/>
  <c r="Q33" i="8" s="1"/>
  <c r="W33" i="8" s="1"/>
  <c r="AO32" i="8"/>
  <c r="AL32" i="8"/>
  <c r="AC32" i="8"/>
  <c r="P32" i="8"/>
  <c r="S32" i="8" s="1"/>
  <c r="Y32" i="8" s="1"/>
  <c r="L32" i="8"/>
  <c r="K32" i="8"/>
  <c r="J32" i="8"/>
  <c r="AO31" i="8"/>
  <c r="AL31" i="8"/>
  <c r="AC31" i="8"/>
  <c r="AF31" i="8" s="1"/>
  <c r="S31" i="8"/>
  <c r="Y31" i="8" s="1"/>
  <c r="Q31" i="8"/>
  <c r="W31" i="8" s="1"/>
  <c r="P31" i="8"/>
  <c r="L31" i="8"/>
  <c r="K31" i="8"/>
  <c r="R31" i="8" s="1"/>
  <c r="X31" i="8" s="1"/>
  <c r="J31" i="8"/>
  <c r="AO30" i="8"/>
  <c r="AL30" i="8"/>
  <c r="AC30" i="8"/>
  <c r="S30" i="8"/>
  <c r="R30" i="8"/>
  <c r="X30" i="8" s="1"/>
  <c r="P30" i="8"/>
  <c r="Q30" i="8" s="1"/>
  <c r="L30" i="8"/>
  <c r="K30" i="8"/>
  <c r="J30" i="8"/>
  <c r="AO29" i="8"/>
  <c r="AL29" i="8"/>
  <c r="AE29" i="8"/>
  <c r="AD29" i="8"/>
  <c r="AC29" i="8"/>
  <c r="R29" i="8"/>
  <c r="X29" i="8" s="1"/>
  <c r="P29" i="8"/>
  <c r="L29" i="8"/>
  <c r="S29" i="8" s="1"/>
  <c r="Y29" i="8" s="1"/>
  <c r="K29" i="8"/>
  <c r="J29" i="8"/>
  <c r="Q29" i="8" s="1"/>
  <c r="W29" i="8" s="1"/>
  <c r="AO28" i="8"/>
  <c r="AL28" i="8"/>
  <c r="AC28" i="8"/>
  <c r="P28" i="8"/>
  <c r="L28" i="8"/>
  <c r="K28" i="8"/>
  <c r="J28" i="8"/>
  <c r="AO27" i="8"/>
  <c r="AL27" i="8"/>
  <c r="AC27" i="8"/>
  <c r="P27" i="8"/>
  <c r="L27" i="8"/>
  <c r="S27" i="8" s="1"/>
  <c r="Y27" i="8" s="1"/>
  <c r="K27" i="8"/>
  <c r="R27" i="8" s="1"/>
  <c r="X27" i="8" s="1"/>
  <c r="J27" i="8"/>
  <c r="Q27" i="8" s="1"/>
  <c r="W27" i="8" s="1"/>
  <c r="AO26" i="8"/>
  <c r="AL26" i="8"/>
  <c r="AC26" i="8"/>
  <c r="P26" i="8"/>
  <c r="S26" i="8" s="1"/>
  <c r="Y26" i="8" s="1"/>
  <c r="L26" i="8"/>
  <c r="K26" i="8"/>
  <c r="J26" i="8"/>
  <c r="AO25" i="8"/>
  <c r="AL25" i="8"/>
  <c r="AF25" i="8"/>
  <c r="AC25" i="8"/>
  <c r="S25" i="8"/>
  <c r="Y25" i="8" s="1"/>
  <c r="Q25" i="8"/>
  <c r="W25" i="8" s="1"/>
  <c r="P25" i="8"/>
  <c r="L25" i="8"/>
  <c r="K25" i="8"/>
  <c r="R25" i="8" s="1"/>
  <c r="X25" i="8" s="1"/>
  <c r="J25" i="8"/>
  <c r="AO24" i="8"/>
  <c r="AL24" i="8"/>
  <c r="AC24" i="8"/>
  <c r="P24" i="8"/>
  <c r="L24" i="8"/>
  <c r="K24" i="8"/>
  <c r="J24" i="8"/>
  <c r="AO23" i="8"/>
  <c r="AL23" i="8"/>
  <c r="AC23" i="8"/>
  <c r="P23" i="8"/>
  <c r="R23" i="8" s="1"/>
  <c r="X23" i="8" s="1"/>
  <c r="L23" i="8"/>
  <c r="K23" i="8"/>
  <c r="J23" i="8"/>
  <c r="AO22" i="8"/>
  <c r="AL22" i="8"/>
  <c r="AC22" i="8"/>
  <c r="Q22" i="8"/>
  <c r="L22" i="8"/>
  <c r="S22" i="8" s="1"/>
  <c r="K22" i="8"/>
  <c r="R22" i="8" s="1"/>
  <c r="J22" i="8"/>
  <c r="AO21" i="8"/>
  <c r="AL21" i="8"/>
  <c r="AC21" i="8"/>
  <c r="S21" i="8"/>
  <c r="Y21" i="8" s="1"/>
  <c r="R21" i="8"/>
  <c r="X21" i="8" s="1"/>
  <c r="Q21" i="8"/>
  <c r="W21" i="8" s="1"/>
  <c r="P21" i="8"/>
  <c r="L21" i="8"/>
  <c r="K21" i="8"/>
  <c r="J21" i="8"/>
  <c r="AO20" i="8"/>
  <c r="AL20" i="8"/>
  <c r="AC20" i="8"/>
  <c r="P20" i="8"/>
  <c r="L20" i="8"/>
  <c r="K20" i="8"/>
  <c r="J20" i="8"/>
  <c r="AO19" i="8"/>
  <c r="AL19" i="8"/>
  <c r="AC19" i="8"/>
  <c r="P19" i="8"/>
  <c r="L19" i="8"/>
  <c r="K19" i="8"/>
  <c r="J19" i="8"/>
  <c r="AO18" i="8"/>
  <c r="AL18" i="8"/>
  <c r="AC18" i="8"/>
  <c r="Y18" i="8"/>
  <c r="P18" i="8"/>
  <c r="L18" i="8"/>
  <c r="S18" i="8" s="1"/>
  <c r="K18" i="8"/>
  <c r="R18" i="8" s="1"/>
  <c r="X18" i="8" s="1"/>
  <c r="J18" i="8"/>
  <c r="Q18" i="8" s="1"/>
  <c r="W18" i="8" s="1"/>
  <c r="AO17" i="8"/>
  <c r="AL17" i="8"/>
  <c r="AC17" i="8"/>
  <c r="P17" i="8"/>
  <c r="R17" i="8" s="1"/>
  <c r="X17" i="8" s="1"/>
  <c r="L17" i="8"/>
  <c r="K17" i="8"/>
  <c r="J17" i="8"/>
  <c r="AO16" i="8"/>
  <c r="AL16" i="8"/>
  <c r="AC16" i="8"/>
  <c r="P16" i="8"/>
  <c r="S16" i="8" s="1"/>
  <c r="Y16" i="8" s="1"/>
  <c r="L16" i="8"/>
  <c r="K16" i="8"/>
  <c r="J16" i="8"/>
  <c r="AP15" i="8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AO15" i="8"/>
  <c r="AL15" i="8"/>
  <c r="AC15" i="8"/>
  <c r="S15" i="8"/>
  <c r="Y15" i="8" s="1"/>
  <c r="R15" i="8"/>
  <c r="X15" i="8" s="1"/>
  <c r="Q15" i="8"/>
  <c r="W15" i="8" s="1"/>
  <c r="P15" i="8"/>
  <c r="L15" i="8"/>
  <c r="K15" i="8"/>
  <c r="J15" i="8"/>
  <c r="AO14" i="8"/>
  <c r="AL14" i="8"/>
  <c r="AC14" i="8"/>
  <c r="S14" i="8"/>
  <c r="R14" i="8"/>
  <c r="AE14" i="8" s="1"/>
  <c r="P14" i="8"/>
  <c r="Q14" i="8" s="1"/>
  <c r="L14" i="8"/>
  <c r="K14" i="8"/>
  <c r="J14" i="8"/>
  <c r="AO13" i="8"/>
  <c r="AL13" i="8"/>
  <c r="AD13" i="8"/>
  <c r="AC13" i="8"/>
  <c r="P13" i="8"/>
  <c r="L13" i="8"/>
  <c r="S13" i="8" s="1"/>
  <c r="Y13" i="8" s="1"/>
  <c r="K13" i="8"/>
  <c r="R13" i="8" s="1"/>
  <c r="X13" i="8" s="1"/>
  <c r="J13" i="8"/>
  <c r="Q13" i="8" s="1"/>
  <c r="W13" i="8" s="1"/>
  <c r="AO12" i="8"/>
  <c r="AL12" i="8"/>
  <c r="AC12" i="8"/>
  <c r="Q12" i="8"/>
  <c r="L12" i="8"/>
  <c r="S12" i="8" s="1"/>
  <c r="K12" i="8"/>
  <c r="R12" i="8" s="1"/>
  <c r="AE12" i="8" s="1"/>
  <c r="J12" i="8"/>
  <c r="AO11" i="8"/>
  <c r="AL11" i="8"/>
  <c r="AF11" i="8"/>
  <c r="AC11" i="8"/>
  <c r="S11" i="8"/>
  <c r="Y11" i="8" s="1"/>
  <c r="R11" i="8"/>
  <c r="X11" i="8" s="1"/>
  <c r="Q11" i="8"/>
  <c r="W11" i="8" s="1"/>
  <c r="P11" i="8"/>
  <c r="L11" i="8"/>
  <c r="K11" i="8"/>
  <c r="J11" i="8"/>
  <c r="AO10" i="8"/>
  <c r="AL10" i="8"/>
  <c r="P10" i="8"/>
  <c r="Q10" i="8" s="1"/>
  <c r="L10" i="8"/>
  <c r="S10" i="8" s="1"/>
  <c r="K10" i="8"/>
  <c r="R10" i="8" s="1"/>
  <c r="J10" i="8"/>
  <c r="AO9" i="8"/>
  <c r="AL9" i="8"/>
  <c r="AC9" i="8"/>
  <c r="R9" i="8"/>
  <c r="X9" i="8" s="1"/>
  <c r="Q9" i="8"/>
  <c r="W9" i="8" s="1"/>
  <c r="P9" i="8"/>
  <c r="L9" i="8"/>
  <c r="S9" i="8" s="1"/>
  <c r="K9" i="8"/>
  <c r="J9" i="8"/>
  <c r="AO8" i="8"/>
  <c r="AL8" i="8"/>
  <c r="AC8" i="8"/>
  <c r="P8" i="8"/>
  <c r="L8" i="8"/>
  <c r="K8" i="8"/>
  <c r="J8" i="8"/>
  <c r="D8" i="8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AP7" i="8"/>
  <c r="AP8" i="8" s="1"/>
  <c r="AP9" i="8" s="1"/>
  <c r="AP10" i="8" s="1"/>
  <c r="AP11" i="8" s="1"/>
  <c r="AP12" i="8" s="1"/>
  <c r="AP13" i="8" s="1"/>
  <c r="AP14" i="8" s="1"/>
  <c r="AO7" i="8"/>
  <c r="AL7" i="8"/>
  <c r="AF7" i="8"/>
  <c r="AC7" i="8"/>
  <c r="Y7" i="8"/>
  <c r="W7" i="8"/>
  <c r="Q7" i="8"/>
  <c r="P7" i="8"/>
  <c r="L7" i="8"/>
  <c r="S7" i="8" s="1"/>
  <c r="K7" i="8"/>
  <c r="J7" i="8"/>
  <c r="D7" i="8"/>
  <c r="AO6" i="8"/>
  <c r="AP6" i="8" s="1"/>
  <c r="AL6" i="8"/>
  <c r="AL36" i="8" s="1"/>
  <c r="AC6" i="8"/>
  <c r="R6" i="8"/>
  <c r="P6" i="8"/>
  <c r="L6" i="8"/>
  <c r="K6" i="8"/>
  <c r="J6" i="8"/>
  <c r="L22" i="6"/>
  <c r="H22" i="6"/>
  <c r="L20" i="6"/>
  <c r="H20" i="6"/>
  <c r="L19" i="6"/>
  <c r="H19" i="6"/>
  <c r="L18" i="6"/>
  <c r="H18" i="6"/>
  <c r="L17" i="6"/>
  <c r="H17" i="6"/>
  <c r="L16" i="6"/>
  <c r="H16" i="6"/>
  <c r="L15" i="6"/>
  <c r="H15" i="6"/>
  <c r="L14" i="6"/>
  <c r="H14" i="6"/>
  <c r="L13" i="6"/>
  <c r="H13" i="6"/>
  <c r="L12" i="6"/>
  <c r="H12" i="6"/>
  <c r="L11" i="6"/>
  <c r="H11" i="6"/>
  <c r="M11" i="6" s="1"/>
  <c r="L10" i="6"/>
  <c r="H10" i="6"/>
  <c r="L9" i="6"/>
  <c r="L8" i="6"/>
  <c r="H8" i="6"/>
  <c r="L7" i="6"/>
  <c r="H7" i="6"/>
  <c r="L6" i="6"/>
  <c r="H6" i="6"/>
  <c r="T5" i="6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L5" i="6"/>
  <c r="H5" i="6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S17" i="5"/>
  <c r="L17" i="5"/>
  <c r="H17" i="5"/>
  <c r="M17" i="5" s="1"/>
  <c r="O17" i="5" s="1"/>
  <c r="U16" i="5"/>
  <c r="S16" i="5"/>
  <c r="M16" i="5"/>
  <c r="O16" i="5" s="1"/>
  <c r="L16" i="5"/>
  <c r="H16" i="5"/>
  <c r="S15" i="5"/>
  <c r="M15" i="5"/>
  <c r="O15" i="5" s="1"/>
  <c r="L15" i="5"/>
  <c r="H15" i="5"/>
  <c r="S14" i="5"/>
  <c r="M14" i="5"/>
  <c r="O14" i="5" s="1"/>
  <c r="L14" i="5"/>
  <c r="H14" i="5"/>
  <c r="S13" i="5"/>
  <c r="M13" i="5"/>
  <c r="O13" i="5" s="1"/>
  <c r="L13" i="5"/>
  <c r="H13" i="5"/>
  <c r="S12" i="5"/>
  <c r="U12" i="5" s="1"/>
  <c r="M12" i="5"/>
  <c r="O12" i="5" s="1"/>
  <c r="L12" i="5"/>
  <c r="H12" i="5"/>
  <c r="S11" i="5"/>
  <c r="M11" i="5"/>
  <c r="L11" i="5"/>
  <c r="H11" i="5"/>
  <c r="S10" i="5"/>
  <c r="L10" i="5"/>
  <c r="H10" i="5"/>
  <c r="M10" i="5" s="1"/>
  <c r="O10" i="5" s="1"/>
  <c r="S9" i="5"/>
  <c r="M9" i="5"/>
  <c r="O9" i="5" s="1"/>
  <c r="L9" i="5"/>
  <c r="H9" i="5"/>
  <c r="U8" i="5"/>
  <c r="S8" i="5"/>
  <c r="M8" i="5"/>
  <c r="O8" i="5" s="1"/>
  <c r="L8" i="5"/>
  <c r="H8" i="5"/>
  <c r="S7" i="5"/>
  <c r="L7" i="5"/>
  <c r="H7" i="5"/>
  <c r="M7" i="5" s="1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L6" i="5"/>
  <c r="L18" i="5" s="1"/>
  <c r="H6" i="5"/>
  <c r="M6" i="5" s="1"/>
  <c r="O6" i="5" s="1"/>
  <c r="S5" i="5"/>
  <c r="L5" i="5"/>
  <c r="H5" i="5"/>
  <c r="D5" i="5"/>
  <c r="D6" i="5" s="1"/>
  <c r="S8" i="4"/>
  <c r="U7" i="4"/>
  <c r="S7" i="4"/>
  <c r="M7" i="4"/>
  <c r="O7" i="4" s="1"/>
  <c r="L7" i="4"/>
  <c r="H7" i="4"/>
  <c r="S6" i="4"/>
  <c r="L6" i="4"/>
  <c r="H6" i="4"/>
  <c r="D6" i="4"/>
  <c r="D7" i="4" s="1"/>
  <c r="D8" i="4" s="1"/>
  <c r="C5" i="7" s="1"/>
  <c r="U5" i="4"/>
  <c r="S5" i="4"/>
  <c r="O5" i="4"/>
  <c r="N5" i="4"/>
  <c r="L5" i="4"/>
  <c r="L8" i="4" s="1"/>
  <c r="H5" i="4"/>
  <c r="M5" i="4" s="1"/>
  <c r="D5" i="4"/>
  <c r="S42" i="3"/>
  <c r="L42" i="3"/>
  <c r="H42" i="3"/>
  <c r="M42" i="3" s="1"/>
  <c r="O42" i="3" s="1"/>
  <c r="S41" i="3"/>
  <c r="L41" i="3"/>
  <c r="H41" i="3"/>
  <c r="S40" i="3"/>
  <c r="L40" i="3"/>
  <c r="H40" i="3"/>
  <c r="S39" i="3"/>
  <c r="L39" i="3"/>
  <c r="H39" i="3"/>
  <c r="S38" i="3"/>
  <c r="L38" i="3"/>
  <c r="H38" i="3"/>
  <c r="S37" i="3"/>
  <c r="L37" i="3"/>
  <c r="H37" i="3"/>
  <c r="S36" i="3"/>
  <c r="L36" i="3"/>
  <c r="H36" i="3"/>
  <c r="S35" i="3"/>
  <c r="L35" i="3"/>
  <c r="H35" i="3"/>
  <c r="S34" i="3"/>
  <c r="L34" i="3"/>
  <c r="H34" i="3"/>
  <c r="M34" i="3" s="1"/>
  <c r="O34" i="3" s="1"/>
  <c r="S33" i="3"/>
  <c r="L33" i="3"/>
  <c r="H33" i="3"/>
  <c r="S32" i="3"/>
  <c r="L32" i="3"/>
  <c r="H32" i="3"/>
  <c r="S31" i="3"/>
  <c r="L31" i="3"/>
  <c r="H31" i="3"/>
  <c r="S30" i="3"/>
  <c r="L30" i="3"/>
  <c r="H30" i="3"/>
  <c r="S29" i="3"/>
  <c r="L29" i="3"/>
  <c r="H29" i="3"/>
  <c r="S28" i="3"/>
  <c r="L28" i="3"/>
  <c r="H28" i="3"/>
  <c r="S27" i="3"/>
  <c r="L27" i="3"/>
  <c r="H27" i="3"/>
  <c r="S26" i="3"/>
  <c r="L26" i="3"/>
  <c r="H26" i="3"/>
  <c r="S25" i="3"/>
  <c r="L25" i="3"/>
  <c r="H25" i="3"/>
  <c r="S24" i="3"/>
  <c r="L24" i="3"/>
  <c r="H24" i="3"/>
  <c r="S23" i="3"/>
  <c r="L23" i="3"/>
  <c r="H23" i="3"/>
  <c r="S22" i="3"/>
  <c r="L22" i="3"/>
  <c r="H22" i="3"/>
  <c r="S21" i="3"/>
  <c r="L21" i="3"/>
  <c r="H21" i="3"/>
  <c r="S20" i="3"/>
  <c r="L20" i="3"/>
  <c r="H20" i="3"/>
  <c r="S19" i="3"/>
  <c r="L19" i="3"/>
  <c r="H19" i="3"/>
  <c r="S18" i="3"/>
  <c r="L18" i="3"/>
  <c r="H18" i="3"/>
  <c r="S17" i="3"/>
  <c r="L17" i="3"/>
  <c r="H17" i="3"/>
  <c r="S16" i="3"/>
  <c r="L16" i="3"/>
  <c r="H16" i="3"/>
  <c r="S15" i="3"/>
  <c r="L15" i="3"/>
  <c r="H15" i="3"/>
  <c r="S14" i="3"/>
  <c r="L14" i="3"/>
  <c r="H14" i="3"/>
  <c r="S13" i="3"/>
  <c r="L13" i="3"/>
  <c r="H13" i="3"/>
  <c r="S12" i="3"/>
  <c r="L12" i="3"/>
  <c r="H12" i="3"/>
  <c r="S11" i="3"/>
  <c r="L11" i="3"/>
  <c r="H11" i="3"/>
  <c r="S10" i="3"/>
  <c r="L10" i="3"/>
  <c r="H10" i="3"/>
  <c r="S9" i="3"/>
  <c r="L9" i="3"/>
  <c r="H9" i="3"/>
  <c r="S8" i="3"/>
  <c r="L8" i="3"/>
  <c r="H8" i="3"/>
  <c r="S7" i="3"/>
  <c r="L7" i="3"/>
  <c r="H7" i="3"/>
  <c r="S6" i="3"/>
  <c r="L6" i="3"/>
  <c r="H6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S5" i="3"/>
  <c r="L5" i="3"/>
  <c r="H5" i="3"/>
  <c r="C37" i="2"/>
  <c r="AC36" i="2"/>
  <c r="P36" i="2"/>
  <c r="S36" i="2" s="1"/>
  <c r="L36" i="2"/>
  <c r="K36" i="2"/>
  <c r="J36" i="2"/>
  <c r="AC35" i="2"/>
  <c r="R35" i="2"/>
  <c r="X35" i="2" s="1"/>
  <c r="P35" i="2"/>
  <c r="L35" i="2"/>
  <c r="S35" i="2" s="1"/>
  <c r="K35" i="2"/>
  <c r="J35" i="2"/>
  <c r="Q35" i="2" s="1"/>
  <c r="W35" i="2" s="1"/>
  <c r="AC34" i="2"/>
  <c r="P34" i="2"/>
  <c r="L34" i="2"/>
  <c r="S34" i="2" s="1"/>
  <c r="K34" i="2"/>
  <c r="J34" i="2"/>
  <c r="AC33" i="2"/>
  <c r="R33" i="2"/>
  <c r="P33" i="2"/>
  <c r="L33" i="2"/>
  <c r="S33" i="2" s="1"/>
  <c r="K33" i="2"/>
  <c r="J33" i="2"/>
  <c r="Q33" i="2" s="1"/>
  <c r="AC32" i="2"/>
  <c r="P32" i="2"/>
  <c r="L32" i="2"/>
  <c r="S32" i="2" s="1"/>
  <c r="Y32" i="2" s="1"/>
  <c r="K32" i="2"/>
  <c r="R32" i="2" s="1"/>
  <c r="X32" i="2" s="1"/>
  <c r="J32" i="2"/>
  <c r="AC31" i="2"/>
  <c r="P31" i="2"/>
  <c r="L31" i="2"/>
  <c r="K31" i="2"/>
  <c r="J31" i="2"/>
  <c r="AC30" i="2"/>
  <c r="Q30" i="2"/>
  <c r="W30" i="2" s="1"/>
  <c r="P30" i="2"/>
  <c r="L30" i="2"/>
  <c r="K30" i="2"/>
  <c r="R30" i="2" s="1"/>
  <c r="J30" i="2"/>
  <c r="AC29" i="2"/>
  <c r="P29" i="2"/>
  <c r="L29" i="2"/>
  <c r="K29" i="2"/>
  <c r="J29" i="2"/>
  <c r="Q29" i="2" s="1"/>
  <c r="W29" i="2" s="1"/>
  <c r="AC28" i="2"/>
  <c r="P28" i="2"/>
  <c r="L28" i="2"/>
  <c r="S28" i="2" s="1"/>
  <c r="K28" i="2"/>
  <c r="R28" i="2" s="1"/>
  <c r="X28" i="2" s="1"/>
  <c r="J28" i="2"/>
  <c r="Q28" i="2" s="1"/>
  <c r="W28" i="2" s="1"/>
  <c r="AC27" i="2"/>
  <c r="P27" i="2"/>
  <c r="L27" i="2"/>
  <c r="S27" i="2" s="1"/>
  <c r="K27" i="2"/>
  <c r="R27" i="2" s="1"/>
  <c r="J27" i="2"/>
  <c r="AC26" i="2"/>
  <c r="P26" i="2"/>
  <c r="S26" i="2" s="1"/>
  <c r="AG26" i="2" s="1"/>
  <c r="L26" i="2"/>
  <c r="K26" i="2"/>
  <c r="J26" i="2"/>
  <c r="AC25" i="2"/>
  <c r="P25" i="2"/>
  <c r="L25" i="2"/>
  <c r="K25" i="2"/>
  <c r="J25" i="2"/>
  <c r="AC24" i="2"/>
  <c r="P24" i="2"/>
  <c r="L24" i="2"/>
  <c r="K24" i="2"/>
  <c r="J24" i="2"/>
  <c r="AC23" i="2"/>
  <c r="AG23" i="2" s="1"/>
  <c r="S23" i="2"/>
  <c r="R23" i="2"/>
  <c r="Q23" i="2"/>
  <c r="AC22" i="2"/>
  <c r="P22" i="2"/>
  <c r="R22" i="2" s="1"/>
  <c r="L22" i="2"/>
  <c r="K22" i="2"/>
  <c r="J22" i="2"/>
  <c r="AC21" i="2"/>
  <c r="P21" i="2"/>
  <c r="S21" i="2" s="1"/>
  <c r="L21" i="2"/>
  <c r="K21" i="2"/>
  <c r="J21" i="2"/>
  <c r="AC20" i="2"/>
  <c r="P20" i="2"/>
  <c r="L20" i="2"/>
  <c r="K20" i="2"/>
  <c r="J20" i="2"/>
  <c r="AC19" i="2"/>
  <c r="P19" i="2"/>
  <c r="L19" i="2"/>
  <c r="K19" i="2"/>
  <c r="J19" i="2"/>
  <c r="AC18" i="2"/>
  <c r="AG18" i="2" s="1"/>
  <c r="P18" i="2"/>
  <c r="L18" i="2"/>
  <c r="S18" i="2" s="1"/>
  <c r="K18" i="2"/>
  <c r="J18" i="2"/>
  <c r="AC17" i="2"/>
  <c r="P17" i="2"/>
  <c r="L17" i="2"/>
  <c r="K17" i="2"/>
  <c r="R17" i="2" s="1"/>
  <c r="J17" i="2"/>
  <c r="Q17" i="2" s="1"/>
  <c r="AC16" i="2"/>
  <c r="P16" i="2"/>
  <c r="L16" i="2"/>
  <c r="S16" i="2" s="1"/>
  <c r="K16" i="2"/>
  <c r="R16" i="2" s="1"/>
  <c r="J16" i="2"/>
  <c r="AC15" i="2"/>
  <c r="P15" i="2"/>
  <c r="L15" i="2"/>
  <c r="K15" i="2"/>
  <c r="R15" i="2" s="1"/>
  <c r="X15" i="2" s="1"/>
  <c r="J15" i="2"/>
  <c r="AC14" i="2"/>
  <c r="P14" i="2"/>
  <c r="S14" i="2" s="1"/>
  <c r="L14" i="2"/>
  <c r="K14" i="2"/>
  <c r="J14" i="2"/>
  <c r="AC13" i="2"/>
  <c r="S13" i="2"/>
  <c r="Q13" i="2"/>
  <c r="AC12" i="2"/>
  <c r="P12" i="2"/>
  <c r="L12" i="2"/>
  <c r="K12" i="2"/>
  <c r="R12" i="2" s="1"/>
  <c r="X12" i="2" s="1"/>
  <c r="J12" i="2"/>
  <c r="Q12" i="2" s="1"/>
  <c r="P11" i="2"/>
  <c r="L11" i="2"/>
  <c r="K11" i="2"/>
  <c r="J11" i="2"/>
  <c r="AC10" i="2"/>
  <c r="P10" i="2"/>
  <c r="L10" i="2"/>
  <c r="S10" i="2" s="1"/>
  <c r="Y10" i="2" s="1"/>
  <c r="K10" i="2"/>
  <c r="R10" i="2" s="1"/>
  <c r="J10" i="2"/>
  <c r="Q10" i="2" s="1"/>
  <c r="W10" i="2" s="1"/>
  <c r="AC9" i="2"/>
  <c r="P9" i="2"/>
  <c r="L9" i="2"/>
  <c r="S9" i="2" s="1"/>
  <c r="Y9" i="2" s="1"/>
  <c r="K9" i="2"/>
  <c r="J9" i="2"/>
  <c r="AC8" i="2"/>
  <c r="P8" i="2"/>
  <c r="L8" i="2"/>
  <c r="S8" i="2" s="1"/>
  <c r="Y8" i="2" s="1"/>
  <c r="K8" i="2"/>
  <c r="J8" i="2"/>
  <c r="AC7" i="2"/>
  <c r="P7" i="2"/>
  <c r="L7" i="2"/>
  <c r="K7" i="2"/>
  <c r="J7" i="2"/>
  <c r="Q7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C3" i="7" s="1"/>
  <c r="C22" i="9"/>
  <c r="C24" i="9" s="1"/>
  <c r="H43" i="3" l="1"/>
  <c r="F13" i="7" s="1"/>
  <c r="F17" i="7" s="1"/>
  <c r="M31" i="3"/>
  <c r="O31" i="3" s="1"/>
  <c r="C4" i="7"/>
  <c r="C8" i="7" s="1"/>
  <c r="M12" i="6"/>
  <c r="O12" i="6" s="1"/>
  <c r="M20" i="6"/>
  <c r="M18" i="6"/>
  <c r="M17" i="6"/>
  <c r="O17" i="6" s="1"/>
  <c r="M7" i="7"/>
  <c r="C7" i="7"/>
  <c r="M15" i="6"/>
  <c r="M14" i="6"/>
  <c r="O14" i="6" s="1"/>
  <c r="M8" i="6"/>
  <c r="U8" i="6" s="1"/>
  <c r="M16" i="6"/>
  <c r="M19" i="6"/>
  <c r="M22" i="6"/>
  <c r="U22" i="6" s="1"/>
  <c r="M32" i="3"/>
  <c r="O32" i="3" s="1"/>
  <c r="M41" i="3"/>
  <c r="O41" i="3" s="1"/>
  <c r="M10" i="3"/>
  <c r="O10" i="3" s="1"/>
  <c r="M6" i="3"/>
  <c r="O6" i="3" s="1"/>
  <c r="M14" i="3"/>
  <c r="O14" i="3" s="1"/>
  <c r="M22" i="3"/>
  <c r="U22" i="3" s="1"/>
  <c r="M38" i="3"/>
  <c r="U38" i="3" s="1"/>
  <c r="M11" i="3"/>
  <c r="O11" i="3" s="1"/>
  <c r="M30" i="3"/>
  <c r="O30" i="3" s="1"/>
  <c r="M35" i="3"/>
  <c r="O35" i="3" s="1"/>
  <c r="M40" i="3"/>
  <c r="O40" i="3" s="1"/>
  <c r="M5" i="3"/>
  <c r="M9" i="3"/>
  <c r="O9" i="3" s="1"/>
  <c r="M7" i="3"/>
  <c r="O7" i="3" s="1"/>
  <c r="M12" i="3"/>
  <c r="O12" i="3" s="1"/>
  <c r="M28" i="3"/>
  <c r="O28" i="3" s="1"/>
  <c r="M15" i="3"/>
  <c r="O15" i="3" s="1"/>
  <c r="M39" i="3"/>
  <c r="O39" i="3" s="1"/>
  <c r="M8" i="3"/>
  <c r="O8" i="3" s="1"/>
  <c r="M13" i="3"/>
  <c r="O13" i="3" s="1"/>
  <c r="M26" i="3"/>
  <c r="O26" i="3" s="1"/>
  <c r="U31" i="3"/>
  <c r="M37" i="3"/>
  <c r="O37" i="3" s="1"/>
  <c r="M36" i="3"/>
  <c r="O36" i="3" s="1"/>
  <c r="M17" i="3"/>
  <c r="O17" i="3" s="1"/>
  <c r="M27" i="3"/>
  <c r="O27" i="3" s="1"/>
  <c r="U10" i="3"/>
  <c r="M18" i="3"/>
  <c r="U18" i="3" s="1"/>
  <c r="M23" i="3"/>
  <c r="O23" i="3" s="1"/>
  <c r="M33" i="3"/>
  <c r="O33" i="3" s="1"/>
  <c r="M16" i="3"/>
  <c r="O16" i="3" s="1"/>
  <c r="M24" i="3"/>
  <c r="O24" i="3" s="1"/>
  <c r="S7" i="2"/>
  <c r="V7" i="2" s="1"/>
  <c r="Q9" i="2"/>
  <c r="W9" i="2" s="1"/>
  <c r="S12" i="2"/>
  <c r="Y12" i="2" s="1"/>
  <c r="S17" i="2"/>
  <c r="Y17" i="2" s="1"/>
  <c r="S20" i="2"/>
  <c r="Q27" i="2"/>
  <c r="AG8" i="2"/>
  <c r="AF18" i="2"/>
  <c r="X9" i="2"/>
  <c r="S22" i="2"/>
  <c r="Q11" i="2"/>
  <c r="W11" i="2" s="1"/>
  <c r="AG17" i="2"/>
  <c r="R11" i="2"/>
  <c r="X11" i="2" s="1"/>
  <c r="R26" i="2"/>
  <c r="AF26" i="2" s="1"/>
  <c r="Q8" i="2"/>
  <c r="W8" i="2" s="1"/>
  <c r="S11" i="2"/>
  <c r="Q15" i="2"/>
  <c r="W15" i="2" s="1"/>
  <c r="R18" i="2"/>
  <c r="S15" i="2"/>
  <c r="R25" i="2"/>
  <c r="AG28" i="2"/>
  <c r="R14" i="2"/>
  <c r="R19" i="2"/>
  <c r="X19" i="2" s="1"/>
  <c r="Q20" i="2"/>
  <c r="R29" i="2"/>
  <c r="AF29" i="2" s="1"/>
  <c r="S30" i="2"/>
  <c r="S19" i="2"/>
  <c r="Y19" i="2" s="1"/>
  <c r="S29" i="2"/>
  <c r="Y29" i="2" s="1"/>
  <c r="AF10" i="2"/>
  <c r="Q16" i="2"/>
  <c r="W16" i="2" s="1"/>
  <c r="Q18" i="2"/>
  <c r="AE18" i="2" s="1"/>
  <c r="AE23" i="2"/>
  <c r="Q25" i="2"/>
  <c r="AE25" i="2" s="1"/>
  <c r="S31" i="2"/>
  <c r="AG31" i="2" s="1"/>
  <c r="V8" i="2"/>
  <c r="V9" i="2" s="1"/>
  <c r="V10" i="2" s="1"/>
  <c r="V11" i="2" s="1"/>
  <c r="V12" i="2" s="1"/>
  <c r="V13" i="2" s="1"/>
  <c r="V14" i="2" s="1"/>
  <c r="Y7" i="2"/>
  <c r="Q21" i="2"/>
  <c r="AF23" i="2"/>
  <c r="AF25" i="2"/>
  <c r="Y28" i="2"/>
  <c r="AG7" i="2"/>
  <c r="R21" i="2"/>
  <c r="AF22" i="2"/>
  <c r="S25" i="2"/>
  <c r="AG25" i="2" s="1"/>
  <c r="AF28" i="2"/>
  <c r="AE29" i="2"/>
  <c r="Q32" i="2"/>
  <c r="W32" i="2" s="1"/>
  <c r="M9" i="6"/>
  <c r="U9" i="6" s="1"/>
  <c r="M6" i="6"/>
  <c r="O6" i="6" s="1"/>
  <c r="M13" i="6"/>
  <c r="M5" i="6"/>
  <c r="N5" i="6" s="1"/>
  <c r="M7" i="6"/>
  <c r="M10" i="6"/>
  <c r="O10" i="6" s="1"/>
  <c r="M6" i="4"/>
  <c r="O6" i="4" s="1"/>
  <c r="M8" i="4"/>
  <c r="U6" i="4"/>
  <c r="X16" i="2"/>
  <c r="X20" i="2"/>
  <c r="Y31" i="2"/>
  <c r="AE25" i="8"/>
  <c r="AD25" i="8"/>
  <c r="Y14" i="2"/>
  <c r="AG14" i="2"/>
  <c r="Y33" i="2"/>
  <c r="AG33" i="2"/>
  <c r="Y36" i="2"/>
  <c r="U5" i="6"/>
  <c r="U13" i="6"/>
  <c r="O13" i="6"/>
  <c r="W21" i="2"/>
  <c r="W27" i="2"/>
  <c r="Q36" i="2"/>
  <c r="Q8" i="8"/>
  <c r="W8" i="8" s="1"/>
  <c r="P36" i="8"/>
  <c r="AF17" i="2"/>
  <c r="X21" i="2"/>
  <c r="X27" i="2"/>
  <c r="R31" i="2"/>
  <c r="AE23" i="8"/>
  <c r="R24" i="2"/>
  <c r="L43" i="3"/>
  <c r="O38" i="3"/>
  <c r="L23" i="6"/>
  <c r="U10" i="6"/>
  <c r="AF6" i="8"/>
  <c r="AE8" i="8"/>
  <c r="AF8" i="8"/>
  <c r="AD8" i="8"/>
  <c r="AC36" i="8"/>
  <c r="Y20" i="2"/>
  <c r="Y22" i="2"/>
  <c r="U9" i="5"/>
  <c r="S18" i="5"/>
  <c r="AG10" i="2"/>
  <c r="X22" i="2"/>
  <c r="Y25" i="2"/>
  <c r="O7" i="5"/>
  <c r="U7" i="5"/>
  <c r="AE10" i="2"/>
  <c r="Q22" i="2"/>
  <c r="O9" i="6"/>
  <c r="AE7" i="2"/>
  <c r="W12" i="2"/>
  <c r="AE12" i="2"/>
  <c r="X29" i="2"/>
  <c r="O11" i="6"/>
  <c r="U11" i="6"/>
  <c r="X10" i="8"/>
  <c r="AE10" i="8"/>
  <c r="S24" i="2"/>
  <c r="Q24" i="2"/>
  <c r="AE24" i="2" s="1"/>
  <c r="AM6" i="8"/>
  <c r="AM7" i="8" s="1"/>
  <c r="AM8" i="8" s="1"/>
  <c r="AM9" i="8" s="1"/>
  <c r="AM10" i="8" s="1"/>
  <c r="AM11" i="8" s="1"/>
  <c r="AM12" i="8" s="1"/>
  <c r="AM13" i="8" s="1"/>
  <c r="AM14" i="8" s="1"/>
  <c r="AM15" i="8" s="1"/>
  <c r="AM16" i="8" s="1"/>
  <c r="AM17" i="8" s="1"/>
  <c r="AM18" i="8" s="1"/>
  <c r="AM19" i="8" s="1"/>
  <c r="AM20" i="8" s="1"/>
  <c r="AM21" i="8" s="1"/>
  <c r="AM22" i="8" s="1"/>
  <c r="AM23" i="8" s="1"/>
  <c r="AM24" i="8" s="1"/>
  <c r="AM25" i="8" s="1"/>
  <c r="AM26" i="8" s="1"/>
  <c r="AM27" i="8" s="1"/>
  <c r="AM28" i="8" s="1"/>
  <c r="AM29" i="8" s="1"/>
  <c r="AM30" i="8" s="1"/>
  <c r="AM31" i="8" s="1"/>
  <c r="AM32" i="8" s="1"/>
  <c r="AM33" i="8" s="1"/>
  <c r="AM34" i="8" s="1"/>
  <c r="AM35" i="8" s="1"/>
  <c r="X26" i="2"/>
  <c r="AE27" i="2"/>
  <c r="AF18" i="8"/>
  <c r="AD18" i="8"/>
  <c r="W17" i="2"/>
  <c r="W18" i="2"/>
  <c r="W20" i="2"/>
  <c r="Y26" i="2"/>
  <c r="AF27" i="2"/>
  <c r="AE18" i="8"/>
  <c r="AE30" i="8"/>
  <c r="X25" i="2"/>
  <c r="X33" i="2"/>
  <c r="AF33" i="2"/>
  <c r="AD7" i="2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M3" i="7" s="1"/>
  <c r="X17" i="2"/>
  <c r="AG9" i="2"/>
  <c r="AE9" i="2"/>
  <c r="AF9" i="2"/>
  <c r="AG22" i="2"/>
  <c r="AG36" i="2"/>
  <c r="AE36" i="2"/>
  <c r="O11" i="5"/>
  <c r="U11" i="5"/>
  <c r="W34" i="8"/>
  <c r="AD34" i="8"/>
  <c r="AF12" i="2"/>
  <c r="Y15" i="2"/>
  <c r="Y16" i="2"/>
  <c r="Y21" i="2"/>
  <c r="Y34" i="2"/>
  <c r="Y10" i="8"/>
  <c r="AF10" i="8"/>
  <c r="AE31" i="8"/>
  <c r="AD31" i="8"/>
  <c r="T7" i="2"/>
  <c r="T8" i="2" s="1"/>
  <c r="T9" i="2" s="1"/>
  <c r="T10" i="2" s="1"/>
  <c r="T11" i="2" s="1"/>
  <c r="T12" i="2" s="1"/>
  <c r="T13" i="2" s="1"/>
  <c r="W7" i="2"/>
  <c r="AG12" i="2"/>
  <c r="X18" i="2"/>
  <c r="X30" i="2"/>
  <c r="U18" i="6"/>
  <c r="O18" i="6"/>
  <c r="X8" i="2"/>
  <c r="AF8" i="2"/>
  <c r="X10" i="2"/>
  <c r="Y11" i="2"/>
  <c r="Y18" i="2"/>
  <c r="P37" i="2"/>
  <c r="X14" i="2"/>
  <c r="AF14" i="2"/>
  <c r="Q19" i="2"/>
  <c r="AE19" i="2" s="1"/>
  <c r="W25" i="2"/>
  <c r="W33" i="2"/>
  <c r="AE33" i="2"/>
  <c r="AG34" i="2"/>
  <c r="U6" i="3"/>
  <c r="T6" i="3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AF30" i="2"/>
  <c r="W10" i="8"/>
  <c r="AD10" i="8"/>
  <c r="AG35" i="2"/>
  <c r="AF35" i="2"/>
  <c r="AE35" i="2"/>
  <c r="AE20" i="2"/>
  <c r="AG15" i="2"/>
  <c r="AE15" i="2"/>
  <c r="AF15" i="2"/>
  <c r="AE16" i="2"/>
  <c r="X14" i="8"/>
  <c r="AE15" i="8"/>
  <c r="AD15" i="8"/>
  <c r="AF15" i="8"/>
  <c r="AF27" i="8"/>
  <c r="AE27" i="8"/>
  <c r="AD27" i="8"/>
  <c r="Q26" i="2"/>
  <c r="Y14" i="8"/>
  <c r="AF14" i="8"/>
  <c r="Q20" i="8"/>
  <c r="S20" i="8"/>
  <c r="R20" i="8"/>
  <c r="U42" i="3"/>
  <c r="Q14" i="2"/>
  <c r="AF16" i="2"/>
  <c r="AF20" i="2"/>
  <c r="Q34" i="2"/>
  <c r="AE34" i="2" s="1"/>
  <c r="O18" i="3"/>
  <c r="U15" i="5"/>
  <c r="U15" i="6"/>
  <c r="O15" i="6"/>
  <c r="R8" i="8"/>
  <c r="X8" i="8" s="1"/>
  <c r="AE13" i="8"/>
  <c r="AF13" i="8"/>
  <c r="Y27" i="2"/>
  <c r="AG32" i="2"/>
  <c r="AF32" i="2"/>
  <c r="L36" i="8"/>
  <c r="S6" i="8"/>
  <c r="AF9" i="8"/>
  <c r="Y9" i="8"/>
  <c r="AF19" i="2"/>
  <c r="AG19" i="2"/>
  <c r="AF22" i="8"/>
  <c r="AE22" i="8"/>
  <c r="AD22" i="8"/>
  <c r="AG16" i="2"/>
  <c r="AG20" i="2"/>
  <c r="AG21" i="2"/>
  <c r="AF21" i="2"/>
  <c r="AE21" i="2"/>
  <c r="AG27" i="2"/>
  <c r="R34" i="2"/>
  <c r="Y35" i="2"/>
  <c r="O8" i="6"/>
  <c r="S8" i="8"/>
  <c r="Y8" i="8" s="1"/>
  <c r="Q17" i="8"/>
  <c r="W17" i="8" s="1"/>
  <c r="AE21" i="8"/>
  <c r="AD21" i="8"/>
  <c r="AF21" i="8"/>
  <c r="R24" i="8"/>
  <c r="Q24" i="8"/>
  <c r="Y30" i="8"/>
  <c r="AF30" i="8"/>
  <c r="Q31" i="2"/>
  <c r="R36" i="2"/>
  <c r="AF36" i="2" s="1"/>
  <c r="M19" i="3"/>
  <c r="O19" i="3" s="1"/>
  <c r="M21" i="3"/>
  <c r="M25" i="3"/>
  <c r="U6" i="8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R36" i="8"/>
  <c r="X6" i="8"/>
  <c r="W14" i="8"/>
  <c r="AD14" i="8"/>
  <c r="AF29" i="8"/>
  <c r="AE34" i="8"/>
  <c r="M5" i="5"/>
  <c r="U7" i="3"/>
  <c r="U34" i="3"/>
  <c r="AO36" i="8"/>
  <c r="Q19" i="8"/>
  <c r="Q23" i="8"/>
  <c r="W23" i="8" s="1"/>
  <c r="AE17" i="2"/>
  <c r="AE28" i="2"/>
  <c r="AE30" i="2"/>
  <c r="T5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J36" i="8"/>
  <c r="Q6" i="8"/>
  <c r="AF16" i="8"/>
  <c r="AE16" i="8"/>
  <c r="O20" i="6"/>
  <c r="U20" i="6"/>
  <c r="AE9" i="8"/>
  <c r="R19" i="8"/>
  <c r="AE35" i="8"/>
  <c r="O22" i="3"/>
  <c r="O8" i="4"/>
  <c r="U12" i="6"/>
  <c r="R7" i="8"/>
  <c r="X7" i="8" s="1"/>
  <c r="K36" i="8"/>
  <c r="S23" i="8"/>
  <c r="S24" i="8"/>
  <c r="W30" i="8"/>
  <c r="AD30" i="8"/>
  <c r="AD35" i="8"/>
  <c r="AF12" i="8"/>
  <c r="AD17" i="8"/>
  <c r="Q26" i="8"/>
  <c r="W26" i="8" s="1"/>
  <c r="AF33" i="8"/>
  <c r="AE33" i="8"/>
  <c r="AD33" i="8"/>
  <c r="U10" i="5"/>
  <c r="U13" i="5"/>
  <c r="AD12" i="8"/>
  <c r="AE17" i="8"/>
  <c r="R26" i="8"/>
  <c r="AF34" i="8"/>
  <c r="U15" i="3"/>
  <c r="S17" i="8"/>
  <c r="Y17" i="8" s="1"/>
  <c r="Q28" i="8"/>
  <c r="U14" i="5"/>
  <c r="U17" i="5"/>
  <c r="AE7" i="8"/>
  <c r="AD9" i="8"/>
  <c r="Q16" i="8"/>
  <c r="W16" i="8" s="1"/>
  <c r="R28" i="8"/>
  <c r="Q32" i="8"/>
  <c r="W32" i="8" s="1"/>
  <c r="M20" i="3"/>
  <c r="O20" i="3" s="1"/>
  <c r="M29" i="3"/>
  <c r="U32" i="3"/>
  <c r="U41" i="3"/>
  <c r="AD7" i="8"/>
  <c r="AE11" i="8"/>
  <c r="AD11" i="8"/>
  <c r="R16" i="8"/>
  <c r="X16" i="8" s="1"/>
  <c r="S19" i="8"/>
  <c r="Y19" i="8" s="1"/>
  <c r="AD26" i="8"/>
  <c r="S28" i="8"/>
  <c r="Y28" i="8" s="1"/>
  <c r="R32" i="8"/>
  <c r="AE6" i="8"/>
  <c r="AF26" i="8"/>
  <c r="AF32" i="8"/>
  <c r="U26" i="3" l="1"/>
  <c r="N5" i="3"/>
  <c r="N6" i="3" s="1"/>
  <c r="O5" i="3"/>
  <c r="U14" i="3"/>
  <c r="U12" i="3"/>
  <c r="U5" i="3"/>
  <c r="T43" i="3"/>
  <c r="M4" i="7"/>
  <c r="M8" i="7" s="1"/>
  <c r="U9" i="3"/>
  <c r="U14" i="6"/>
  <c r="O22" i="6"/>
  <c r="U17" i="6"/>
  <c r="U19" i="6"/>
  <c r="O19" i="6"/>
  <c r="U16" i="6"/>
  <c r="O16" i="6"/>
  <c r="N6" i="6"/>
  <c r="U30" i="3"/>
  <c r="U39" i="3"/>
  <c r="U11" i="3"/>
  <c r="U27" i="3"/>
  <c r="U35" i="3"/>
  <c r="U36" i="3"/>
  <c r="U37" i="3"/>
  <c r="U16" i="3"/>
  <c r="U23" i="3"/>
  <c r="U33" i="3"/>
  <c r="U40" i="3"/>
  <c r="U28" i="3"/>
  <c r="U8" i="3"/>
  <c r="N7" i="3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U13" i="3"/>
  <c r="U17" i="3"/>
  <c r="U24" i="3"/>
  <c r="U19" i="3"/>
  <c r="AE8" i="2"/>
  <c r="V15" i="2"/>
  <c r="V16" i="2" s="1"/>
  <c r="V17" i="2" s="1"/>
  <c r="V18" i="2" s="1"/>
  <c r="V19" i="2" s="1"/>
  <c r="V20" i="2" s="1"/>
  <c r="V21" i="2" s="1"/>
  <c r="V22" i="2" s="1"/>
  <c r="V23" i="2" s="1"/>
  <c r="Y30" i="2"/>
  <c r="AG30" i="2"/>
  <c r="AG29" i="2"/>
  <c r="AE32" i="2"/>
  <c r="M23" i="6"/>
  <c r="O5" i="6"/>
  <c r="O7" i="6"/>
  <c r="U7" i="6"/>
  <c r="N6" i="4"/>
  <c r="N7" i="4" s="1"/>
  <c r="N8" i="4" s="1"/>
  <c r="F5" i="7" s="1"/>
  <c r="X20" i="8"/>
  <c r="AE20" i="8"/>
  <c r="Y20" i="8"/>
  <c r="AF20" i="8"/>
  <c r="X26" i="8"/>
  <c r="AE26" i="8"/>
  <c r="W24" i="8"/>
  <c r="AD24" i="8"/>
  <c r="U20" i="3"/>
  <c r="W19" i="2"/>
  <c r="O21" i="3"/>
  <c r="U21" i="3"/>
  <c r="AF19" i="8"/>
  <c r="W14" i="2"/>
  <c r="AE14" i="2"/>
  <c r="T14" i="2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X19" i="8"/>
  <c r="X36" i="8" s="1"/>
  <c r="AE19" i="8"/>
  <c r="AE36" i="8" s="1"/>
  <c r="AF31" i="2"/>
  <c r="X31" i="2"/>
  <c r="W36" i="2"/>
  <c r="X34" i="2"/>
  <c r="U20" i="8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W34" i="2"/>
  <c r="W20" i="8"/>
  <c r="AD20" i="8"/>
  <c r="AF34" i="2"/>
  <c r="X24" i="2"/>
  <c r="AF24" i="2"/>
  <c r="AD23" i="8"/>
  <c r="W19" i="8"/>
  <c r="AD19" i="8"/>
  <c r="W26" i="2"/>
  <c r="AE26" i="2"/>
  <c r="AD16" i="8"/>
  <c r="O5" i="5"/>
  <c r="O18" i="5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F6" i="7" s="1"/>
  <c r="M18" i="5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AD6" i="8"/>
  <c r="Q36" i="8"/>
  <c r="W6" i="8"/>
  <c r="U25" i="3"/>
  <c r="O25" i="3"/>
  <c r="AF23" i="8"/>
  <c r="Y23" i="8"/>
  <c r="Y6" i="8"/>
  <c r="Y36" i="8" s="1"/>
  <c r="V6" i="8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S36" i="8"/>
  <c r="W28" i="8"/>
  <c r="AD28" i="8"/>
  <c r="U5" i="5"/>
  <c r="X36" i="2"/>
  <c r="W22" i="2"/>
  <c r="AE22" i="2"/>
  <c r="U29" i="3"/>
  <c r="O29" i="3"/>
  <c r="AF17" i="8"/>
  <c r="AE32" i="8"/>
  <c r="X32" i="8"/>
  <c r="AD32" i="8"/>
  <c r="X28" i="8"/>
  <c r="AE28" i="8"/>
  <c r="X24" i="8"/>
  <c r="AE24" i="8"/>
  <c r="W24" i="2"/>
  <c r="Y24" i="8"/>
  <c r="AF24" i="8"/>
  <c r="AF36" i="8" s="1"/>
  <c r="Y24" i="2"/>
  <c r="V24" i="2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AG24" i="2"/>
  <c r="AF28" i="8"/>
  <c r="W31" i="2"/>
  <c r="AE31" i="2"/>
  <c r="U7" i="2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3" i="7" s="1"/>
  <c r="X7" i="2"/>
  <c r="O23" i="6" l="1"/>
  <c r="F7" i="7"/>
  <c r="X37" i="2"/>
  <c r="F4" i="7"/>
  <c r="H22" i="9"/>
  <c r="H24" i="9" s="1"/>
  <c r="AD36" i="8"/>
  <c r="W36" i="8"/>
  <c r="F8" i="7" l="1"/>
</calcChain>
</file>

<file path=xl/sharedStrings.xml><?xml version="1.0" encoding="utf-8"?>
<sst xmlns="http://schemas.openxmlformats.org/spreadsheetml/2006/main" count="732" uniqueCount="141">
  <si>
    <t>Run 1 Gen 1</t>
  </si>
  <si>
    <t>Cycle</t>
  </si>
  <si>
    <t>Operating 
Hour</t>
  </si>
  <si>
    <t>Operating 
Hour Cumulative Gen 1</t>
  </si>
  <si>
    <t>CO₂In during adsorption</t>
  </si>
  <si>
    <t>CO₂Out during adsorption</t>
  </si>
  <si>
    <t>CO₂ Captured</t>
  </si>
  <si>
    <t>CO₂Regen during steaming</t>
  </si>
  <si>
    <t>Q 
(Nm³/h)</t>
  </si>
  <si>
    <t>C 
(vol%)</t>
  </si>
  <si>
    <t>T 
(min)</t>
  </si>
  <si>
    <t>CO₂ 
(kg)</t>
  </si>
  <si>
    <t>CO₂  Captured Run 1 Gen 1</t>
  </si>
  <si>
    <t>CO₂  Captured Run 1 Gen 1 Cumulative (Kg)</t>
  </si>
  <si>
    <t>% Captured</t>
  </si>
  <si>
    <t>CO₂ (kg)</t>
  </si>
  <si>
    <t>CO2 Recovery Run 1 Gen 1 Cumulative (Kg)</t>
  </si>
  <si>
    <t xml:space="preserve">% Recovery
</t>
  </si>
  <si>
    <t>-</t>
  </si>
  <si>
    <t>Total</t>
  </si>
  <si>
    <t>Time</t>
  </si>
  <si>
    <t>Adsorp</t>
  </si>
  <si>
    <t>Steam</t>
  </si>
  <si>
    <t>Sorbent Aging</t>
  </si>
  <si>
    <t>kg</t>
  </si>
  <si>
    <t>y</t>
  </si>
  <si>
    <t>CO2 Capture&amp;Recovery</t>
  </si>
  <si>
    <t>CO2 Capture &amp; Conc flue gas in</t>
  </si>
  <si>
    <t>Run 2 Gen 1 + Gen 2</t>
  </si>
  <si>
    <t>Operating 
Hour Cumulative Gen 1+2</t>
  </si>
  <si>
    <t>CO₂  Captured Run 2 Gen 1+2</t>
  </si>
  <si>
    <t>CO₂  Captured Run 2 Gen 1+2 Cumulative (Kg)</t>
  </si>
  <si>
    <t>CO2 Recovery Run 2 Gen 1 +2 Cumulative (Kg)</t>
  </si>
  <si>
    <t>% Recovery</t>
  </si>
  <si>
    <t>x = 1</t>
  </si>
  <si>
    <t>x = 2</t>
  </si>
  <si>
    <t>Run 3 Zeolite</t>
  </si>
  <si>
    <t>Operating 
Hour Cumulative Run 4 Gen 1</t>
  </si>
  <si>
    <t xml:space="preserve">CO₂  Captured Run 3 Zeolite </t>
  </si>
  <si>
    <t>CO₂  Captured Run 3 Zeolite Cumulative (Kg)</t>
  </si>
  <si>
    <t>CO2 Recovery Run 3 Zeolite Cumulative (Kg)</t>
  </si>
  <si>
    <t>Run 4 Gen 1 + Zeolite</t>
  </si>
  <si>
    <t>CO₂  Captured Run 4 Gen 1 + Zeolite</t>
  </si>
  <si>
    <t>CO₂  Captured Run 4 Gen 1 + Zeolite Cumulative (Kg)</t>
  </si>
  <si>
    <t>CO2 Recovery Run 4 Gen 1 + Zeolite Cumulative (Kg)</t>
  </si>
  <si>
    <t>Run 5 Gen 1+Gen 2.2+ Zeolite</t>
  </si>
  <si>
    <t>Operating 
Hour Cumulative Run 5 Gen 1+Gen 2.2+ Zeolite</t>
  </si>
  <si>
    <t>CO₂  Captured Run 5 Gen 1+Gen 2.2+ Zeolite (Kg)</t>
  </si>
  <si>
    <t>CO₂  Captured Run 5 Gen 1+Gen 2.2+ Zeolite Cumulative (Kg)</t>
  </si>
  <si>
    <t>CO2 Recovery Run 5 Gen 1+Gen 2.2+ Zeolite Cumulative (Kg)</t>
  </si>
  <si>
    <t xml:space="preserve">Run 3,4, and 5 </t>
  </si>
  <si>
    <t xml:space="preserve">Operating 
Hour Cumulative Run 3,4, and 5 </t>
  </si>
  <si>
    <t>CO₂  Captured Run 3,4, and 5 (Kg)</t>
  </si>
  <si>
    <t>CO₂  Captured Run 3,4, and 5 Cumulative (Kg)</t>
  </si>
  <si>
    <t>CO2 Recovery Run 3,4, and 5 Cumulative (Kg)</t>
  </si>
  <si>
    <t>Run 3</t>
  </si>
  <si>
    <t>Run 4</t>
  </si>
  <si>
    <t>Run 5</t>
  </si>
  <si>
    <t>x = 4</t>
  </si>
  <si>
    <t>x = 17</t>
  </si>
  <si>
    <t>x = 3</t>
  </si>
  <si>
    <t>x = 16</t>
  </si>
  <si>
    <t>x = 34</t>
  </si>
  <si>
    <t>y = -0.1087x + 5.1591</t>
  </si>
  <si>
    <t>Sorbent Aging follow equation in final report</t>
  </si>
  <si>
    <t>Operating Hours</t>
  </si>
  <si>
    <t>Hours</t>
  </si>
  <si>
    <t>CO₂ Capture Cumulatives</t>
  </si>
  <si>
    <t>Kg</t>
  </si>
  <si>
    <t>CO₂ Out Cumulatives</t>
  </si>
  <si>
    <t>CO₂ Recovery Cumulatives</t>
  </si>
  <si>
    <t>Run 1</t>
  </si>
  <si>
    <t>Run 2 Gen 1+2</t>
  </si>
  <si>
    <t>Run 2</t>
  </si>
  <si>
    <t>Run 5 Gen 1 + Gen 2.2 + Zeolite</t>
  </si>
  <si>
    <t>CO₂ Capture</t>
  </si>
  <si>
    <t xml:space="preserve">Average CO₂ Recovery % </t>
  </si>
  <si>
    <t>%</t>
  </si>
  <si>
    <t>Q Flue Gas In</t>
  </si>
  <si>
    <t>Nm3/hr</t>
  </si>
  <si>
    <r>
      <t>CO</t>
    </r>
    <r>
      <rPr>
        <b/>
        <vertAlign val="subscript"/>
        <sz val="14"/>
        <color rgb="FF000000"/>
        <rFont val="Aptos Narrow"/>
        <family val="2"/>
        <scheme val="minor"/>
      </rPr>
      <t>2</t>
    </r>
    <r>
      <rPr>
        <b/>
        <sz val="14"/>
        <color rgb="FF000000"/>
        <rFont val="Aptos Narrow"/>
        <family val="2"/>
        <scheme val="minor"/>
      </rPr>
      <t xml:space="preserve"> Capture</t>
    </r>
  </si>
  <si>
    <r>
      <t>CO</t>
    </r>
    <r>
      <rPr>
        <b/>
        <vertAlign val="subscript"/>
        <sz val="14"/>
        <color rgb="FF000000"/>
        <rFont val="Aptos Narrow"/>
        <family val="2"/>
        <scheme val="minor"/>
      </rPr>
      <t>2</t>
    </r>
    <r>
      <rPr>
        <b/>
        <sz val="14"/>
        <color rgb="FF000000"/>
        <rFont val="Aptos Narrow"/>
        <family val="2"/>
        <scheme val="minor"/>
      </rPr>
      <t xml:space="preserve"> Recovery</t>
    </r>
  </si>
  <si>
    <t xml:space="preserve">Operating Hour </t>
  </si>
  <si>
    <r>
      <t>CO</t>
    </r>
    <r>
      <rPr>
        <b/>
        <vertAlign val="subscript"/>
        <sz val="14"/>
        <color rgb="FF000000"/>
        <rFont val="Aptos Narrow"/>
        <family val="2"/>
        <scheme val="minor"/>
      </rPr>
      <t>2</t>
    </r>
    <r>
      <rPr>
        <b/>
        <sz val="14"/>
        <color rgb="FF000000"/>
        <rFont val="Aptos Narrow"/>
        <family val="2"/>
        <scheme val="minor"/>
      </rPr>
      <t xml:space="preserve"> Capture Efficiency</t>
    </r>
  </si>
  <si>
    <r>
      <t>CO</t>
    </r>
    <r>
      <rPr>
        <b/>
        <vertAlign val="subscript"/>
        <sz val="14"/>
        <color rgb="FF000000"/>
        <rFont val="Aptos Narrow"/>
        <family val="2"/>
        <scheme val="minor"/>
      </rPr>
      <t>2</t>
    </r>
    <r>
      <rPr>
        <b/>
        <sz val="14"/>
        <color rgb="FF000000"/>
        <rFont val="Aptos Narrow"/>
        <family val="2"/>
        <scheme val="minor"/>
      </rPr>
      <t xml:space="preserve"> Recovey %</t>
    </r>
  </si>
  <si>
    <r>
      <t>CO</t>
    </r>
    <r>
      <rPr>
        <b/>
        <vertAlign val="subscript"/>
        <sz val="14"/>
        <color rgb="FF000000"/>
        <rFont val="Aptos Narrow"/>
        <family val="2"/>
        <scheme val="minor"/>
      </rPr>
      <t>2</t>
    </r>
    <r>
      <rPr>
        <b/>
        <sz val="14"/>
        <color rgb="FF000000"/>
        <rFont val="Aptos Narrow"/>
        <family val="2"/>
        <scheme val="minor"/>
      </rPr>
      <t xml:space="preserve"> Out</t>
    </r>
  </si>
  <si>
    <t xml:space="preserve">Q Flue Gas In &amp; CO2 Capture </t>
  </si>
  <si>
    <t>Concentration Flue Gas In &amp; CO2 Capture</t>
  </si>
  <si>
    <r>
      <rPr>
        <b/>
        <sz val="11"/>
        <color theme="1"/>
        <rFont val="Aptos Narrow"/>
        <family val="2"/>
        <scheme val="minor"/>
      </rPr>
      <t xml:space="preserve">Insight: </t>
    </r>
    <r>
      <rPr>
        <sz val="11"/>
        <color theme="1"/>
        <rFont val="Aptos Narrow"/>
        <family val="2"/>
        <scheme val="minor"/>
      </rPr>
      <t xml:space="preserve">High inlet concentration High CO₂ capture  </t>
    </r>
  </si>
  <si>
    <t>All Run</t>
  </si>
  <si>
    <t xml:space="preserve">Operating 
Hour Cumulative </t>
  </si>
  <si>
    <t>CO₂  Captured  (Kg)</t>
  </si>
  <si>
    <t>CO₂  Captured Cumulative (Kg)</t>
  </si>
  <si>
    <t>CO₂ Recovery
(kg)</t>
  </si>
  <si>
    <t>CO2 Recovery Cumulative (Kg)</t>
  </si>
  <si>
    <t>*Wrong Position of collect the sample</t>
  </si>
  <si>
    <t>Inlet</t>
  </si>
  <si>
    <t>Date / time</t>
  </si>
  <si>
    <t>% O₂</t>
  </si>
  <si>
    <t>ppm CO</t>
  </si>
  <si>
    <t>ppm NOx</t>
  </si>
  <si>
    <t>ppm NO</t>
  </si>
  <si>
    <t>ppm NO₂</t>
  </si>
  <si>
    <t>% CO₂IR</t>
  </si>
  <si>
    <t>ppm SO₂</t>
  </si>
  <si>
    <t>% Moisture</t>
  </si>
  <si>
    <t>Average</t>
  </si>
  <si>
    <t>Outlet absorption phase</t>
  </si>
  <si>
    <t>Outlet Regen phase</t>
  </si>
  <si>
    <t>UAE Capture Efficiency</t>
  </si>
  <si>
    <t>% CO₂ In</t>
  </si>
  <si>
    <t>% CO₂ Out</t>
  </si>
  <si>
    <t>CO₂ Capture Efficiency, %</t>
  </si>
  <si>
    <t>Avg</t>
  </si>
  <si>
    <t>Co2 Captured Run 5 Gen 1+Gen 2.2+ Zeolite (Kg)</t>
  </si>
  <si>
    <t>Co2 Captured Run 5 Gen 1+Gen 2.2+ Zeolite Cumulative (Kg)</t>
  </si>
  <si>
    <t>Co2 Recovery Run 5 Gen 1+Gen 2.2+ Zeolite Cumulative (Kg)</t>
  </si>
  <si>
    <t>UAE 18 Dec 2025</t>
  </si>
  <si>
    <t>ผล Operate 17 Dec 2025</t>
  </si>
  <si>
    <t>Captured</t>
  </si>
  <si>
    <t>Regen</t>
  </si>
  <si>
    <t xml:space="preserve">Day </t>
  </si>
  <si>
    <t>C vol 10%</t>
  </si>
  <si>
    <t>Cumu 10%</t>
  </si>
  <si>
    <t>C vol 17.1%</t>
  </si>
  <si>
    <t>Cumu 17.1%</t>
  </si>
  <si>
    <t>kg/cycle</t>
  </si>
  <si>
    <t xml:space="preserve"> Run 1 Gen 1</t>
  </si>
  <si>
    <t xml:space="preserve">% Utilization
</t>
  </si>
  <si>
    <t>*Cal use conc UAE all cycle</t>
  </si>
  <si>
    <t xml:space="preserve">*36.91 is a strange value from period </t>
  </si>
  <si>
    <t xml:space="preserve">*91.06 is a strange value from period </t>
  </si>
  <si>
    <t>Gen 1 +2</t>
  </si>
  <si>
    <t>Gen 1 + Gen1,2</t>
  </si>
  <si>
    <t>Gen 1</t>
  </si>
  <si>
    <t>Gen 1+2</t>
  </si>
  <si>
    <t>CO₂ Capture Efficiency</t>
  </si>
  <si>
    <t>CO₂ Recovery Efficiency</t>
  </si>
  <si>
    <t>Run</t>
  </si>
  <si>
    <t>CO₂_Capture_Kg</t>
  </si>
  <si>
    <t>CO₂_Recovery_Kg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</si>
</sst>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"/>
    <numFmt numFmtId="165" formatCode="0.0000"/>
    <numFmt numFmtId="166" formatCode="[h]:mm"/>
    <numFmt numFmtId="167" formatCode="0.00000"/>
    <numFmt numFmtId="168" formatCode="0.000"/>
    <numFmt numFmtId="169" formatCode="dd/mm/yyyy\ hh:mm:ss"/>
    <numFmt numFmtId="170" formatCode="B1d\-mmm\-yy"/>
    <numFmt numFmtId="171" formatCode="0.000000000"/>
  </numFmts>
  <fonts count="33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b/>
      <sz val="16"/>
      <color theme="1"/>
      <name val="Aptos Narrow"/>
      <family val="2"/>
    </font>
    <font>
      <sz val="11"/>
      <name val="Aptos Narrow"/>
      <family val="2"/>
    </font>
    <font>
      <b/>
      <sz val="16"/>
      <color theme="1"/>
      <name val="Play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4"/>
      <color rgb="FFFF0000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2"/>
      <color rgb="FFFF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vertAlign val="subscript"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  <charset val="222"/>
      <scheme val="minor"/>
    </font>
    <font>
      <b/>
      <sz val="14"/>
      <color theme="1"/>
      <name val="Aptos Narrow"/>
      <family val="2"/>
      <charset val="22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family val="2"/>
      <charset val="222"/>
    </font>
    <font>
      <sz val="16"/>
      <name val="Aptos Narrow"/>
      <family val="2"/>
      <charset val="222"/>
    </font>
    <font>
      <b/>
      <sz val="16"/>
      <color theme="1"/>
      <name val="Play"/>
      <charset val="222"/>
    </font>
    <font>
      <sz val="9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45B0E1"/>
        <bgColor rgb="FF45B0E1"/>
      </patternFill>
    </fill>
    <fill>
      <patternFill patternType="solid">
        <fgColor rgb="FFD76DCC"/>
        <bgColor rgb="FFD76DCC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FF0000"/>
      </right>
      <top style="medium">
        <color rgb="FF000000"/>
      </top>
      <bottom style="thin">
        <color rgb="FF000000"/>
      </bottom>
      <diagonal/>
    </border>
    <border>
      <left style="thin">
        <color rgb="FFFF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theme="7"/>
      </left>
      <right/>
      <top style="thin">
        <color theme="4"/>
      </top>
      <bottom style="double">
        <color theme="4"/>
      </bottom>
      <diagonal/>
    </border>
    <border>
      <left/>
      <right style="thin">
        <color theme="7"/>
      </right>
      <top style="thin">
        <color theme="4"/>
      </top>
      <bottom style="double">
        <color theme="4"/>
      </bottom>
      <diagonal/>
    </border>
    <border>
      <left style="thin">
        <color theme="6"/>
      </left>
      <right/>
      <top style="thin">
        <color theme="4"/>
      </top>
      <bottom style="double">
        <color theme="4"/>
      </bottom>
      <diagonal/>
    </border>
    <border>
      <left/>
      <right style="thin">
        <color theme="6"/>
      </right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FF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thick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23" applyNumberFormat="0" applyFill="0" applyAlignment="0" applyProtection="0"/>
  </cellStyleXfs>
  <cellXfs count="298">
    <xf numFmtId="0" fontId="0" fillId="0" borderId="0" xfId="0"/>
    <xf numFmtId="0" fontId="2" fillId="0" borderId="0" xfId="0" applyFont="1"/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20" fontId="7" fillId="11" borderId="13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8" fillId="0" borderId="0" xfId="0" applyFont="1"/>
    <xf numFmtId="2" fontId="6" fillId="0" borderId="11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168" fontId="6" fillId="0" borderId="11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20" fontId="7" fillId="11" borderId="18" xfId="0" applyNumberFormat="1" applyFont="1" applyFill="1" applyBorder="1" applyAlignment="1">
      <alignment horizontal="center" vertical="center"/>
    </xf>
    <xf numFmtId="166" fontId="7" fillId="11" borderId="19" xfId="0" applyNumberFormat="1" applyFont="1" applyFill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2" fontId="7" fillId="9" borderId="21" xfId="0" applyNumberFormat="1" applyFont="1" applyFill="1" applyBorder="1" applyAlignment="1">
      <alignment horizontal="center" vertical="center"/>
    </xf>
    <xf numFmtId="2" fontId="7" fillId="9" borderId="19" xfId="0" applyNumberFormat="1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66" fontId="7" fillId="0" borderId="24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10" fillId="0" borderId="11" xfId="0" applyFont="1" applyBorder="1"/>
    <xf numFmtId="0" fontId="3" fillId="12" borderId="31" xfId="0" applyFont="1" applyFill="1" applyBorder="1" applyAlignment="1">
      <alignment horizontal="center" vertical="center"/>
    </xf>
    <xf numFmtId="0" fontId="3" fillId="12" borderId="32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 wrapText="1"/>
    </xf>
    <xf numFmtId="169" fontId="11" fillId="0" borderId="11" xfId="0" applyNumberFormat="1" applyFont="1" applyBorder="1"/>
    <xf numFmtId="2" fontId="11" fillId="0" borderId="11" xfId="0" applyNumberFormat="1" applyFont="1" applyBorder="1"/>
    <xf numFmtId="1" fontId="11" fillId="0" borderId="11" xfId="0" applyNumberFormat="1" applyFont="1" applyBorder="1"/>
    <xf numFmtId="164" fontId="11" fillId="0" borderId="11" xfId="0" applyNumberFormat="1" applyFont="1" applyBorder="1"/>
    <xf numFmtId="20" fontId="7" fillId="2" borderId="13" xfId="0" applyNumberFormat="1" applyFont="1" applyFill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/>
    </xf>
    <xf numFmtId="165" fontId="7" fillId="8" borderId="14" xfId="0" applyNumberFormat="1" applyFont="1" applyFill="1" applyBorder="1" applyAlignment="1">
      <alignment horizontal="center" vertical="center"/>
    </xf>
    <xf numFmtId="2" fontId="7" fillId="9" borderId="11" xfId="0" applyNumberFormat="1" applyFont="1" applyFill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2" fontId="7" fillId="10" borderId="11" xfId="0" applyNumberFormat="1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2" fontId="6" fillId="0" borderId="26" xfId="0" applyNumberFormat="1" applyFont="1" applyBorder="1" applyAlignment="1">
      <alignment horizontal="center" vertical="center"/>
    </xf>
    <xf numFmtId="2" fontId="12" fillId="0" borderId="11" xfId="0" applyNumberFormat="1" applyFont="1" applyBorder="1"/>
    <xf numFmtId="1" fontId="12" fillId="0" borderId="11" xfId="0" applyNumberFormat="1" applyFont="1" applyBorder="1"/>
    <xf numFmtId="164" fontId="12" fillId="0" borderId="11" xfId="0" applyNumberFormat="1" applyFont="1" applyBorder="1"/>
    <xf numFmtId="0" fontId="10" fillId="0" borderId="0" xfId="0" applyFont="1"/>
    <xf numFmtId="169" fontId="11" fillId="0" borderId="0" xfId="0" applyNumberFormat="1" applyFont="1"/>
    <xf numFmtId="0" fontId="10" fillId="0" borderId="0" xfId="0" applyFont="1" applyAlignment="1">
      <alignment horizontal="center" vertical="center" wrapText="1"/>
    </xf>
    <xf numFmtId="2" fontId="11" fillId="0" borderId="0" xfId="0" applyNumberFormat="1" applyFont="1"/>
    <xf numFmtId="1" fontId="11" fillId="0" borderId="0" xfId="0" applyNumberFormat="1" applyFont="1"/>
    <xf numFmtId="164" fontId="11" fillId="0" borderId="0" xfId="0" applyNumberFormat="1" applyFont="1"/>
    <xf numFmtId="20" fontId="7" fillId="2" borderId="35" xfId="0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1" fontId="6" fillId="0" borderId="36" xfId="0" applyNumberFormat="1" applyFont="1" applyBorder="1" applyAlignment="1">
      <alignment horizontal="center" vertical="center"/>
    </xf>
    <xf numFmtId="20" fontId="7" fillId="2" borderId="18" xfId="0" applyNumberFormat="1" applyFont="1" applyFill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168" fontId="7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3" fillId="0" borderId="0" xfId="0" applyFont="1"/>
    <xf numFmtId="0" fontId="12" fillId="0" borderId="11" xfId="0" applyFont="1" applyBorder="1"/>
    <xf numFmtId="0" fontId="5" fillId="10" borderId="11" xfId="0" applyFont="1" applyFill="1" applyBorder="1" applyAlignment="1">
      <alignment horizontal="center" vertical="center" wrapText="1"/>
    </xf>
    <xf numFmtId="0" fontId="5" fillId="10" borderId="3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8" fontId="7" fillId="8" borderId="14" xfId="0" applyNumberFormat="1" applyFont="1" applyFill="1" applyBorder="1" applyAlignment="1">
      <alignment horizontal="center" vertical="center"/>
    </xf>
    <xf numFmtId="0" fontId="7" fillId="13" borderId="14" xfId="0" applyFont="1" applyFill="1" applyBorder="1" applyAlignment="1">
      <alignment horizontal="center" vertical="center"/>
    </xf>
    <xf numFmtId="0" fontId="7" fillId="10" borderId="39" xfId="0" applyFont="1" applyFill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22" fontId="11" fillId="0" borderId="11" xfId="0" applyNumberFormat="1" applyFont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1" fillId="0" borderId="11" xfId="0" applyFont="1" applyBorder="1"/>
    <xf numFmtId="0" fontId="6" fillId="0" borderId="26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1" fillId="0" borderId="0" xfId="0" applyFont="1"/>
    <xf numFmtId="2" fontId="6" fillId="0" borderId="30" xfId="0" applyNumberFormat="1" applyFont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2" fontId="7" fillId="8" borderId="14" xfId="0" applyNumberFormat="1" applyFont="1" applyFill="1" applyBorder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20" fontId="10" fillId="2" borderId="13" xfId="0" applyNumberFormat="1" applyFont="1" applyFill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168" fontId="10" fillId="8" borderId="14" xfId="0" applyNumberFormat="1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6" fontId="10" fillId="0" borderId="24" xfId="0" applyNumberFormat="1" applyFont="1" applyBorder="1" applyAlignment="1">
      <alignment horizontal="center" vertical="center"/>
    </xf>
    <xf numFmtId="168" fontId="10" fillId="0" borderId="24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0" fontId="6" fillId="0" borderId="0" xfId="0" applyFont="1"/>
    <xf numFmtId="0" fontId="14" fillId="0" borderId="0" xfId="0" applyFont="1"/>
    <xf numFmtId="0" fontId="1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66" fontId="10" fillId="0" borderId="42" xfId="0" applyNumberFormat="1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2" fontId="10" fillId="0" borderId="44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>
      <alignment horizontal="center" vertical="center"/>
    </xf>
    <xf numFmtId="2" fontId="6" fillId="0" borderId="38" xfId="0" applyNumberFormat="1" applyFont="1" applyBorder="1" applyAlignment="1">
      <alignment horizontal="center" vertical="center"/>
    </xf>
    <xf numFmtId="0" fontId="7" fillId="12" borderId="45" xfId="0" applyFont="1" applyFill="1" applyBorder="1" applyAlignment="1">
      <alignment horizontal="center" vertical="center"/>
    </xf>
    <xf numFmtId="166" fontId="10" fillId="0" borderId="23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0" fontId="7" fillId="9" borderId="14" xfId="0" quotePrefix="1" applyFont="1" applyFill="1" applyBorder="1" applyAlignment="1">
      <alignment horizontal="center" vertical="center"/>
    </xf>
    <xf numFmtId="14" fontId="0" fillId="0" borderId="47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0" fontId="16" fillId="14" borderId="47" xfId="0" applyFont="1" applyFill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 readingOrder="1"/>
    </xf>
    <xf numFmtId="0" fontId="19" fillId="0" borderId="0" xfId="0" applyFont="1"/>
    <xf numFmtId="170" fontId="19" fillId="0" borderId="0" xfId="0" applyNumberFormat="1" applyFont="1" applyAlignment="1">
      <alignment horizontal="center"/>
    </xf>
    <xf numFmtId="0" fontId="20" fillId="0" borderId="0" xfId="0" applyFont="1"/>
    <xf numFmtId="0" fontId="19" fillId="0" borderId="47" xfId="0" applyFont="1" applyBorder="1"/>
    <xf numFmtId="169" fontId="21" fillId="0" borderId="47" xfId="0" applyNumberFormat="1" applyFont="1" applyBorder="1"/>
    <xf numFmtId="2" fontId="21" fillId="0" borderId="47" xfId="0" applyNumberFormat="1" applyFont="1" applyBorder="1"/>
    <xf numFmtId="1" fontId="21" fillId="0" borderId="47" xfId="0" applyNumberFormat="1" applyFont="1" applyBorder="1"/>
    <xf numFmtId="164" fontId="21" fillId="0" borderId="47" xfId="0" applyNumberFormat="1" applyFont="1" applyBorder="1"/>
    <xf numFmtId="22" fontId="21" fillId="0" borderId="47" xfId="0" applyNumberFormat="1" applyFont="1" applyBorder="1"/>
    <xf numFmtId="2" fontId="20" fillId="0" borderId="47" xfId="0" applyNumberFormat="1" applyFont="1" applyBorder="1"/>
    <xf numFmtId="0" fontId="20" fillId="0" borderId="47" xfId="0" applyFont="1" applyBorder="1"/>
    <xf numFmtId="164" fontId="20" fillId="0" borderId="47" xfId="0" applyNumberFormat="1" applyFont="1" applyBorder="1"/>
    <xf numFmtId="1" fontId="20" fillId="0" borderId="47" xfId="0" applyNumberFormat="1" applyFont="1" applyBorder="1"/>
    <xf numFmtId="169" fontId="21" fillId="0" borderId="0" xfId="0" applyNumberFormat="1" applyFont="1"/>
    <xf numFmtId="0" fontId="22" fillId="0" borderId="0" xfId="0" applyFont="1"/>
    <xf numFmtId="2" fontId="0" fillId="0" borderId="0" xfId="0" applyNumberFormat="1"/>
    <xf numFmtId="164" fontId="0" fillId="0" borderId="0" xfId="0" applyNumberFormat="1"/>
    <xf numFmtId="0" fontId="24" fillId="0" borderId="0" xfId="0" applyFont="1" applyAlignment="1">
      <alignment horizontal="center" vertical="center" readingOrder="1"/>
    </xf>
    <xf numFmtId="0" fontId="25" fillId="0" borderId="0" xfId="0" applyFont="1"/>
    <xf numFmtId="0" fontId="0" fillId="0" borderId="0" xfId="0" applyAlignment="1">
      <alignment horizontal="center"/>
    </xf>
    <xf numFmtId="171" fontId="20" fillId="0" borderId="0" xfId="0" applyNumberFormat="1" applyFont="1"/>
    <xf numFmtId="0" fontId="19" fillId="0" borderId="47" xfId="0" applyFont="1" applyBorder="1" applyAlignment="1">
      <alignment horizontal="center" vertical="center"/>
    </xf>
    <xf numFmtId="2" fontId="21" fillId="0" borderId="47" xfId="0" applyNumberFormat="1" applyFont="1" applyBorder="1" applyAlignment="1">
      <alignment horizontal="center" vertical="center"/>
    </xf>
    <xf numFmtId="0" fontId="26" fillId="0" borderId="23" xfId="1"/>
    <xf numFmtId="2" fontId="27" fillId="0" borderId="23" xfId="1" applyNumberFormat="1" applyFont="1" applyAlignment="1">
      <alignment horizontal="center"/>
    </xf>
    <xf numFmtId="0" fontId="28" fillId="0" borderId="0" xfId="0" applyFont="1"/>
    <xf numFmtId="0" fontId="27" fillId="0" borderId="23" xfId="1" applyFont="1" applyAlignment="1">
      <alignment horizontal="center" vertical="center"/>
    </xf>
    <xf numFmtId="20" fontId="10" fillId="2" borderId="40" xfId="0" applyNumberFormat="1" applyFont="1" applyFill="1" applyBorder="1" applyAlignment="1">
      <alignment horizontal="center" vertical="center"/>
    </xf>
    <xf numFmtId="0" fontId="12" fillId="1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4" fontId="20" fillId="0" borderId="47" xfId="0" applyNumberFormat="1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" fontId="20" fillId="0" borderId="47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65" fontId="20" fillId="0" borderId="47" xfId="0" applyNumberFormat="1" applyFont="1" applyBorder="1" applyAlignment="1">
      <alignment horizontal="center" vertical="center"/>
    </xf>
    <xf numFmtId="164" fontId="20" fillId="0" borderId="46" xfId="0" applyNumberFormat="1" applyFont="1" applyBorder="1" applyAlignment="1">
      <alignment horizontal="center" vertical="center"/>
    </xf>
    <xf numFmtId="2" fontId="7" fillId="10" borderId="39" xfId="0" applyNumberFormat="1" applyFont="1" applyFill="1" applyBorder="1" applyAlignment="1">
      <alignment horizontal="center" vertical="center"/>
    </xf>
    <xf numFmtId="166" fontId="7" fillId="2" borderId="27" xfId="0" applyNumberFormat="1" applyFont="1" applyFill="1" applyBorder="1" applyAlignment="1">
      <alignment horizontal="center" vertical="center"/>
    </xf>
    <xf numFmtId="2" fontId="7" fillId="13" borderId="27" xfId="0" applyNumberFormat="1" applyFont="1" applyFill="1" applyBorder="1" applyAlignment="1">
      <alignment horizontal="center" vertical="center"/>
    </xf>
    <xf numFmtId="2" fontId="20" fillId="0" borderId="47" xfId="0" applyNumberFormat="1" applyFont="1" applyBorder="1" applyAlignment="1">
      <alignment horizontal="center" vertical="center"/>
    </xf>
    <xf numFmtId="2" fontId="20" fillId="0" borderId="46" xfId="0" applyNumberFormat="1" applyFont="1" applyBorder="1" applyAlignment="1">
      <alignment horizontal="center" vertical="center"/>
    </xf>
    <xf numFmtId="167" fontId="20" fillId="0" borderId="47" xfId="0" applyNumberFormat="1" applyFont="1" applyBorder="1" applyAlignment="1">
      <alignment horizontal="center" vertical="center"/>
    </xf>
    <xf numFmtId="168" fontId="20" fillId="0" borderId="47" xfId="0" applyNumberFormat="1" applyFont="1" applyBorder="1" applyAlignment="1">
      <alignment horizontal="center" vertical="center"/>
    </xf>
    <xf numFmtId="0" fontId="19" fillId="14" borderId="47" xfId="0" applyFont="1" applyFill="1" applyBorder="1" applyAlignment="1">
      <alignment horizontal="center" vertical="center"/>
    </xf>
    <xf numFmtId="0" fontId="29" fillId="7" borderId="9" xfId="0" applyFont="1" applyFill="1" applyBorder="1" applyAlignment="1">
      <alignment horizontal="center" vertical="center" wrapText="1"/>
    </xf>
    <xf numFmtId="0" fontId="29" fillId="8" borderId="9" xfId="0" applyFont="1" applyFill="1" applyBorder="1" applyAlignment="1">
      <alignment horizontal="center" vertical="center" wrapText="1"/>
    </xf>
    <xf numFmtId="0" fontId="29" fillId="9" borderId="9" xfId="0" applyFont="1" applyFill="1" applyBorder="1" applyAlignment="1">
      <alignment horizontal="center" vertical="center"/>
    </xf>
    <xf numFmtId="0" fontId="31" fillId="10" borderId="11" xfId="0" applyFont="1" applyFill="1" applyBorder="1" applyAlignment="1">
      <alignment horizontal="center" vertical="center" wrapText="1"/>
    </xf>
    <xf numFmtId="0" fontId="31" fillId="10" borderId="39" xfId="0" applyFont="1" applyFill="1" applyBorder="1" applyAlignment="1">
      <alignment horizontal="center" vertical="center" wrapText="1"/>
    </xf>
    <xf numFmtId="0" fontId="16" fillId="0" borderId="0" xfId="0" applyFont="1"/>
    <xf numFmtId="0" fontId="32" fillId="0" borderId="0" xfId="0" applyFont="1" applyAlignment="1">
      <alignment horizontal="center" vertical="center" readingOrder="1"/>
    </xf>
    <xf numFmtId="2" fontId="32" fillId="0" borderId="0" xfId="0" applyNumberFormat="1" applyFont="1" applyAlignment="1">
      <alignment horizontal="center" vertical="center" readingOrder="1"/>
    </xf>
    <xf numFmtId="0" fontId="3" fillId="7" borderId="37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8" borderId="37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5" fillId="10" borderId="37" xfId="0" applyFont="1" applyFill="1" applyBorder="1" applyAlignment="1">
      <alignment horizontal="center" vertical="center" wrapText="1"/>
    </xf>
    <xf numFmtId="0" fontId="5" fillId="10" borderId="30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3" fillId="12" borderId="37" xfId="0" applyFont="1" applyFill="1" applyBorder="1" applyAlignment="1">
      <alignment horizontal="center" vertical="center" wrapText="1"/>
    </xf>
    <xf numFmtId="0" fontId="3" fillId="12" borderId="30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/>
    </xf>
    <xf numFmtId="0" fontId="5" fillId="12" borderId="37" xfId="0" applyFont="1" applyFill="1" applyBorder="1" applyAlignment="1">
      <alignment horizontal="center" vertical="center" wrapText="1"/>
    </xf>
    <xf numFmtId="0" fontId="5" fillId="12" borderId="30" xfId="0" applyFont="1" applyFill="1" applyBorder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2" fontId="7" fillId="9" borderId="15" xfId="0" applyNumberFormat="1" applyFont="1" applyFill="1" applyBorder="1" applyAlignment="1">
      <alignment horizontal="center" vertical="center"/>
    </xf>
    <xf numFmtId="166" fontId="7" fillId="11" borderId="27" xfId="0" applyNumberFormat="1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20" fontId="7" fillId="2" borderId="15" xfId="0" applyNumberFormat="1" applyFont="1" applyFill="1" applyBorder="1" applyAlignment="1">
      <alignment horizontal="center" vertical="center"/>
    </xf>
    <xf numFmtId="2" fontId="7" fillId="13" borderId="15" xfId="0" applyNumberFormat="1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 wrapText="1"/>
    </xf>
    <xf numFmtId="20" fontId="7" fillId="2" borderId="27" xfId="0" applyNumberFormat="1" applyFont="1" applyFill="1" applyBorder="1" applyAlignment="1">
      <alignment horizontal="center" vertical="center"/>
    </xf>
    <xf numFmtId="20" fontId="10" fillId="2" borderId="15" xfId="0" applyNumberFormat="1" applyFont="1" applyFill="1" applyBorder="1" applyAlignment="1">
      <alignment horizontal="center" vertical="center"/>
    </xf>
    <xf numFmtId="2" fontId="10" fillId="13" borderId="15" xfId="0" applyNumberFormat="1" applyFont="1" applyFill="1" applyBorder="1" applyAlignment="1">
      <alignment horizontal="center" vertical="center"/>
    </xf>
    <xf numFmtId="2" fontId="10" fillId="13" borderId="27" xfId="0" applyNumberFormat="1" applyFont="1" applyFill="1" applyBorder="1" applyAlignment="1">
      <alignment horizontal="center" vertical="center"/>
    </xf>
    <xf numFmtId="20" fontId="10" fillId="0" borderId="27" xfId="0" applyNumberFormat="1" applyFont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29" fillId="8" borderId="37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9" fillId="9" borderId="37" xfId="0" applyFont="1" applyFill="1" applyBorder="1" applyAlignment="1">
      <alignment horizontal="center" vertical="center"/>
    </xf>
    <xf numFmtId="0" fontId="31" fillId="10" borderId="37" xfId="0" applyFont="1" applyFill="1" applyBorder="1" applyAlignment="1">
      <alignment horizontal="center" vertical="center" wrapText="1"/>
    </xf>
    <xf numFmtId="0" fontId="31" fillId="10" borderId="30" xfId="0" applyFont="1" applyFill="1" applyBorder="1" applyAlignment="1">
      <alignment horizontal="center" vertical="center" wrapText="1"/>
    </xf>
    <xf numFmtId="0" fontId="31" fillId="10" borderId="15" xfId="0" applyFont="1" applyFill="1" applyBorder="1" applyAlignment="1">
      <alignment horizontal="center" vertical="center" wrapText="1"/>
    </xf>
    <xf numFmtId="20" fontId="7" fillId="11" borderId="15" xfId="0" applyNumberFormat="1" applyFont="1" applyFill="1" applyBorder="1" applyAlignment="1">
      <alignment horizontal="center" vertical="center"/>
    </xf>
    <xf numFmtId="20" fontId="7" fillId="11" borderId="27" xfId="0" applyNumberFormat="1" applyFont="1" applyFill="1" applyBorder="1" applyAlignment="1">
      <alignment horizontal="center" vertical="center"/>
    </xf>
    <xf numFmtId="2" fontId="12" fillId="12" borderId="0" xfId="0" applyNumberFormat="1" applyFont="1" applyFill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29" fillId="2" borderId="53" xfId="0" applyFont="1" applyFill="1" applyBorder="1" applyAlignment="1">
      <alignment horizontal="center" vertical="center"/>
    </xf>
    <xf numFmtId="0" fontId="29" fillId="2" borderId="54" xfId="0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56" xfId="0" applyNumberFormat="1" applyFont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9" fillId="0" borderId="48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2" fontId="19" fillId="0" borderId="48" xfId="0" applyNumberFormat="1" applyFont="1" applyBorder="1" applyAlignment="1">
      <alignment horizontal="center"/>
    </xf>
    <xf numFmtId="2" fontId="19" fillId="0" borderId="49" xfId="0" applyNumberFormat="1" applyFont="1" applyBorder="1" applyAlignment="1">
      <alignment horizontal="center"/>
    </xf>
    <xf numFmtId="2" fontId="19" fillId="0" borderId="50" xfId="0" applyNumberFormat="1" applyFont="1" applyBorder="1" applyAlignment="1">
      <alignment horizontal="center"/>
    </xf>
    <xf numFmtId="0" fontId="19" fillId="0" borderId="4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7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3" fillId="3" borderId="25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0" borderId="6" xfId="0" applyFont="1" applyBorder="1"/>
    <xf numFmtId="0" fontId="3" fillId="7" borderId="26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15" xfId="0" applyFont="1" applyBorder="1"/>
    <xf numFmtId="0" fontId="4" fillId="0" borderId="28" xfId="0" applyFont="1" applyBorder="1"/>
    <xf numFmtId="0" fontId="3" fillId="9" borderId="29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/>
    </xf>
    <xf numFmtId="0" fontId="30" fillId="0" borderId="3" xfId="0" applyFont="1" applyBorder="1"/>
    <xf numFmtId="0" fontId="30" fillId="0" borderId="6" xfId="0" applyFont="1" applyBorder="1"/>
    <xf numFmtId="0" fontId="29" fillId="2" borderId="1" xfId="0" applyFont="1" applyFill="1" applyBorder="1" applyAlignment="1">
      <alignment horizontal="center" vertical="center"/>
    </xf>
    <xf numFmtId="0" fontId="30" fillId="0" borderId="7" xfId="0" applyFont="1" applyBorder="1"/>
    <xf numFmtId="0" fontId="29" fillId="2" borderId="2" xfId="0" applyFont="1" applyFill="1" applyBorder="1" applyAlignment="1">
      <alignment horizontal="center" vertical="center" wrapText="1"/>
    </xf>
    <xf numFmtId="0" fontId="30" fillId="0" borderId="8" xfId="0" applyFont="1" applyBorder="1"/>
    <xf numFmtId="0" fontId="29" fillId="3" borderId="3" xfId="0" applyFont="1" applyFill="1" applyBorder="1" applyAlignment="1">
      <alignment horizontal="center" vertical="center"/>
    </xf>
    <xf numFmtId="0" fontId="30" fillId="0" borderId="4" xfId="0" applyFont="1" applyBorder="1"/>
    <xf numFmtId="0" fontId="29" fillId="4" borderId="5" xfId="0" applyFont="1" applyFill="1" applyBorder="1" applyAlignment="1">
      <alignment horizontal="center" vertical="center"/>
    </xf>
    <xf numFmtId="0" fontId="29" fillId="5" borderId="5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5" fillId="10" borderId="26" xfId="0" applyFont="1" applyFill="1" applyBorder="1" applyAlignment="1">
      <alignment horizontal="center" vertical="center"/>
    </xf>
    <xf numFmtId="0" fontId="4" fillId="0" borderId="39" xfId="0" applyFont="1" applyBorder="1"/>
  </cellXfs>
  <cellStyles count="2">
    <cellStyle name="Normal" xfId="0" builtinId="0"/>
    <cellStyle name="Total" xfId="1" builtinId="25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2" formatCode="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thick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ck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charset val="222"/>
        <scheme val="none"/>
      </font>
      <fill>
        <patternFill patternType="solid">
          <fgColor rgb="FFD0D0D0"/>
          <bgColor rgb="FFD0D0D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thick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ck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charset val="222"/>
        <scheme val="none"/>
      </font>
      <fill>
        <patternFill patternType="solid">
          <fgColor rgb="FFD0D0D0"/>
          <bgColor rgb="FFD0D0D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2" formatCode="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theme="0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D76DCC"/>
          <bgColor rgb="FFD76DCC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</dxfs>
  <tableStyles count="5">
    <tableStyle name="All-style" pivot="0" count="3" xr9:uid="{00000000-0011-0000-FFFF-FFFF00000000}">
      <tableStyleElement type="headerRow" dxfId="30"/>
      <tableStyleElement type="firstRowStripe" dxfId="29"/>
      <tableStyleElement type="secondRowStripe" dxfId="28"/>
    </tableStyle>
    <tableStyle name="All-style 2" pivot="0" count="3" xr9:uid="{00000000-0011-0000-FFFF-FFFF01000000}">
      <tableStyleElement type="headerRow" dxfId="27"/>
      <tableStyleElement type="firstRowStripe" dxfId="26"/>
      <tableStyleElement type="secondRowStripe" dxfId="25"/>
    </tableStyle>
    <tableStyle name="All-style 3" pivot="0" count="3" xr9:uid="{00000000-0011-0000-FFFF-FFFF02000000}">
      <tableStyleElement type="headerRow" dxfId="24"/>
      <tableStyleElement type="firstRowStripe" dxfId="23"/>
      <tableStyleElement type="secondRowStripe" dxfId="22"/>
    </tableStyle>
    <tableStyle name="Reserved-style" pivot="0" count="3" xr9:uid="{00000000-0011-0000-FFFF-FFFF03000000}">
      <tableStyleElement type="headerRow" dxfId="21"/>
      <tableStyleElement type="firstRowStripe" dxfId="20"/>
      <tableStyleElement type="secondRowStripe" dxfId="19"/>
    </tableStyle>
    <tableStyle name="Reserved-style 2" pivot="0" count="3" xr9:uid="{00000000-0011-0000-FFFF-FFFF04000000}">
      <tableStyleElement type="headerRow" dxfId="18"/>
      <tableStyleElement type="firstRowStripe" dxfId="17"/>
      <tableStyleElement type="secondRowStripe" dxfId="16"/>
    </tableStyle>
  </tableStyles>
  <colors>
    <mruColors>
      <color rgb="FFFF9933"/>
      <color rgb="FF993300"/>
      <color rgb="FFFFCC66"/>
      <color rgb="FF0000FF"/>
      <color rgb="FF9933FF"/>
      <color rgb="FFFF3399"/>
      <color rgb="FF080808"/>
      <color rgb="FF5A5A5A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1</a:t>
            </a: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
Hour Cumulative Gen 1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'Run 1 Gen 1 '!$D$7:$D$36</c:f>
              <c:numCache>
                <c:formatCode>[h]:mm</c:formatCode>
                <c:ptCount val="30"/>
                <c:pt idx="0" formatCode="h:mm">
                  <c:v>0.27916666666666667</c:v>
                </c:pt>
                <c:pt idx="1">
                  <c:v>0.61388888888888893</c:v>
                </c:pt>
                <c:pt idx="2">
                  <c:v>0.86111111111111116</c:v>
                </c:pt>
                <c:pt idx="3">
                  <c:v>1.1416666666666666</c:v>
                </c:pt>
                <c:pt idx="4">
                  <c:v>1.4138888888888888</c:v>
                </c:pt>
                <c:pt idx="5">
                  <c:v>1.6354166666666665</c:v>
                </c:pt>
                <c:pt idx="6">
                  <c:v>1.9319444444444442</c:v>
                </c:pt>
                <c:pt idx="7">
                  <c:v>2.2041666666666666</c:v>
                </c:pt>
                <c:pt idx="8">
                  <c:v>2.4520833333333334</c:v>
                </c:pt>
                <c:pt idx="9">
                  <c:v>2.7062499999999998</c:v>
                </c:pt>
                <c:pt idx="10">
                  <c:v>2.9298611111111108</c:v>
                </c:pt>
                <c:pt idx="11">
                  <c:v>3.1451388888888885</c:v>
                </c:pt>
                <c:pt idx="12">
                  <c:v>3.3979166666666663</c:v>
                </c:pt>
                <c:pt idx="13">
                  <c:v>3.6708333333333329</c:v>
                </c:pt>
                <c:pt idx="14">
                  <c:v>3.8902777777777775</c:v>
                </c:pt>
                <c:pt idx="15">
                  <c:v>4.1611111111111105</c:v>
                </c:pt>
                <c:pt idx="16">
                  <c:v>4.3458333333333332</c:v>
                </c:pt>
                <c:pt idx="17">
                  <c:v>4.5874999999999995</c:v>
                </c:pt>
                <c:pt idx="18">
                  <c:v>4.8104166666666659</c:v>
                </c:pt>
                <c:pt idx="19">
                  <c:v>5.0270833333333327</c:v>
                </c:pt>
                <c:pt idx="20">
                  <c:v>5.2048611111111107</c:v>
                </c:pt>
                <c:pt idx="21">
                  <c:v>5.4097222222222214</c:v>
                </c:pt>
                <c:pt idx="22">
                  <c:v>5.6256944444444432</c:v>
                </c:pt>
                <c:pt idx="23">
                  <c:v>5.8534722222222211</c:v>
                </c:pt>
                <c:pt idx="24">
                  <c:v>6.0659722222222214</c:v>
                </c:pt>
                <c:pt idx="25">
                  <c:v>6.3055555555555545</c:v>
                </c:pt>
                <c:pt idx="26">
                  <c:v>6.5048611111111097</c:v>
                </c:pt>
                <c:pt idx="27">
                  <c:v>6.7256944444444429</c:v>
                </c:pt>
                <c:pt idx="28">
                  <c:v>6.9805555555555543</c:v>
                </c:pt>
                <c:pt idx="29">
                  <c:v>7.1701388888888875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E-4C29-943C-95FA8119D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367449"/>
        <c:axId val="145826630"/>
      </c:lineChart>
      <c:catAx>
        <c:axId val="102936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auto val="1"/>
        <c:lblAlgn val="ctr"/>
        <c:lblOffset val="100"/>
        <c:noMultiLvlLbl val="1"/>
      </c:catAx>
      <c:valAx>
        <c:axId val="145826630"/>
        <c:scaling>
          <c:orientation val="minMax"/>
          <c:max val="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Captured Run 1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Main 14.9%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'Run 1 Gen 1 '!$U$7:$U$36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13.835545041778303</c:v>
                </c:pt>
                <c:pt idx="2">
                  <c:v>20.846784081778306</c:v>
                </c:pt>
                <c:pt idx="3">
                  <c:v>28.96049183450053</c:v>
                </c:pt>
                <c:pt idx="4">
                  <c:v>50.41493292783386</c:v>
                </c:pt>
                <c:pt idx="5">
                  <c:v>55.894888021559787</c:v>
                </c:pt>
                <c:pt idx="6">
                  <c:v>55.894888021559787</c:v>
                </c:pt>
                <c:pt idx="7">
                  <c:v>63.799697658324739</c:v>
                </c:pt>
                <c:pt idx="8">
                  <c:v>70.595157452423393</c:v>
                </c:pt>
                <c:pt idx="9">
                  <c:v>76.583067296103181</c:v>
                </c:pt>
                <c:pt idx="10">
                  <c:v>81.654869560106107</c:v>
                </c:pt>
                <c:pt idx="11">
                  <c:v>88.112006158938499</c:v>
                </c:pt>
                <c:pt idx="12">
                  <c:v>95.647547947376239</c:v>
                </c:pt>
                <c:pt idx="13">
                  <c:v>100.53320218099059</c:v>
                </c:pt>
                <c:pt idx="14">
                  <c:v>103.91342692765726</c:v>
                </c:pt>
                <c:pt idx="15">
                  <c:v>112.53370753158967</c:v>
                </c:pt>
                <c:pt idx="16">
                  <c:v>112.53370753158967</c:v>
                </c:pt>
                <c:pt idx="17">
                  <c:v>118.57642945292292</c:v>
                </c:pt>
                <c:pt idx="18">
                  <c:v>123.43348185700091</c:v>
                </c:pt>
                <c:pt idx="19">
                  <c:v>133.30939690233424</c:v>
                </c:pt>
                <c:pt idx="20">
                  <c:v>137.41084522233425</c:v>
                </c:pt>
                <c:pt idx="21">
                  <c:v>140.76931568458272</c:v>
                </c:pt>
                <c:pt idx="22">
                  <c:v>146.40359809589265</c:v>
                </c:pt>
                <c:pt idx="23">
                  <c:v>149.4663587355036</c:v>
                </c:pt>
                <c:pt idx="24">
                  <c:v>152.3911096441112</c:v>
                </c:pt>
                <c:pt idx="25">
                  <c:v>155.54594291166225</c:v>
                </c:pt>
                <c:pt idx="26">
                  <c:v>158.6967197325599</c:v>
                </c:pt>
                <c:pt idx="27">
                  <c:v>161.86971327444456</c:v>
                </c:pt>
                <c:pt idx="28">
                  <c:v>170.88126116444457</c:v>
                </c:pt>
                <c:pt idx="29">
                  <c:v>173.89309790047304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8-4707-A361-BB5F7955A94C}"/>
            </c:ext>
          </c:extLst>
        </c:ser>
        <c:ser>
          <c:idx val="1"/>
          <c:order val="1"/>
          <c:tx>
            <c:v>Min 10%</c:v>
          </c:tx>
          <c:spPr>
            <a:ln w="28575" cmpd="sng">
              <a:solidFill>
                <a:schemeClr val="accent3"/>
              </a:solidFill>
              <a:prstDash val="dash"/>
            </a:ln>
          </c:spPr>
          <c:marker>
            <c:symbol val="none"/>
          </c:marker>
          <c:val>
            <c:numRef>
              <c:f>'Run 1 Gen 1 '!$T$7:$T$36</c:f>
              <c:numCache>
                <c:formatCode>0.00</c:formatCode>
                <c:ptCount val="30"/>
                <c:pt idx="0">
                  <c:v>2.6878793599999997</c:v>
                </c:pt>
                <c:pt idx="1">
                  <c:v>9.3783879217783017</c:v>
                </c:pt>
                <c:pt idx="2">
                  <c:v>14.130754641778303</c:v>
                </c:pt>
                <c:pt idx="3">
                  <c:v>19.630555941167191</c:v>
                </c:pt>
                <c:pt idx="4">
                  <c:v>34.173427114500527</c:v>
                </c:pt>
                <c:pt idx="5">
                  <c:v>37.888024874893119</c:v>
                </c:pt>
                <c:pt idx="6">
                  <c:v>37.888024874893119</c:v>
                </c:pt>
                <c:pt idx="7">
                  <c:v>43.246269365641822</c:v>
                </c:pt>
                <c:pt idx="8">
                  <c:v>47.852513256505588</c:v>
                </c:pt>
                <c:pt idx="9">
                  <c:v>51.911278685370569</c:v>
                </c:pt>
                <c:pt idx="10">
                  <c:v>55.34912519536833</c:v>
                </c:pt>
                <c:pt idx="11">
                  <c:v>59.725982653197775</c:v>
                </c:pt>
                <c:pt idx="12">
                  <c:v>64.833930175423902</c:v>
                </c:pt>
                <c:pt idx="13">
                  <c:v>68.145587232567664</c:v>
                </c:pt>
                <c:pt idx="14">
                  <c:v>70.436531979234331</c:v>
                </c:pt>
                <c:pt idx="15">
                  <c:v>76.279721402738602</c:v>
                </c:pt>
                <c:pt idx="16">
                  <c:v>76.279721402738602</c:v>
                </c:pt>
                <c:pt idx="17">
                  <c:v>80.375556601802344</c:v>
                </c:pt>
                <c:pt idx="18">
                  <c:v>83.667706485011578</c:v>
                </c:pt>
                <c:pt idx="19">
                  <c:v>90.361893530344915</c:v>
                </c:pt>
                <c:pt idx="20">
                  <c:v>93.141368090344912</c:v>
                </c:pt>
                <c:pt idx="21">
                  <c:v>95.417844952593398</c:v>
                </c:pt>
                <c:pt idx="22">
                  <c:v>99.236961314588243</c:v>
                </c:pt>
                <c:pt idx="23">
                  <c:v>101.31256377148314</c:v>
                </c:pt>
                <c:pt idx="24">
                  <c:v>103.29506027250778</c:v>
                </c:pt>
                <c:pt idx="25">
                  <c:v>105.43349917845885</c:v>
                </c:pt>
                <c:pt idx="26">
                  <c:v>107.56922773268982</c:v>
                </c:pt>
                <c:pt idx="27">
                  <c:v>109.72000314124116</c:v>
                </c:pt>
                <c:pt idx="28">
                  <c:v>115.82778152724117</c:v>
                </c:pt>
                <c:pt idx="29">
                  <c:v>117.86931119126963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8-4707-A361-BB5F7955A94C}"/>
            </c:ext>
          </c:extLst>
        </c:ser>
        <c:ser>
          <c:idx val="2"/>
          <c:order val="2"/>
          <c:tx>
            <c:v>Max 17.1%</c:v>
          </c:tx>
          <c:spPr>
            <a:ln w="28575" cmpd="sng">
              <a:solidFill>
                <a:schemeClr val="accent3"/>
              </a:solidFill>
              <a:prstDash val="sysDot"/>
            </a:ln>
          </c:spPr>
          <c:marker>
            <c:symbol val="none"/>
          </c:marker>
          <c:val>
            <c:numRef>
              <c:f>'Run 1 Gen 1 '!$V$7:$V$36</c:f>
              <c:numCache>
                <c:formatCode>0.00</c:formatCode>
                <c:ptCount val="30"/>
                <c:pt idx="0">
                  <c:v>4.5508425600000013</c:v>
                </c:pt>
                <c:pt idx="1">
                  <c:v>15.878408721778305</c:v>
                </c:pt>
                <c:pt idx="2">
                  <c:v>23.924964241778305</c:v>
                </c:pt>
                <c:pt idx="3">
                  <c:v>33.236712452278304</c:v>
                </c:pt>
                <c:pt idx="4">
                  <c:v>57.858956425611638</c:v>
                </c:pt>
                <c:pt idx="5">
                  <c:v>64.14803363044868</c:v>
                </c:pt>
                <c:pt idx="6">
                  <c:v>64.14803363044868</c:v>
                </c:pt>
                <c:pt idx="7">
                  <c:v>73.220018959137747</c:v>
                </c:pt>
                <c:pt idx="8">
                  <c:v>81.018869375552384</c:v>
                </c:pt>
                <c:pt idx="9">
                  <c:v>87.890970409355631</c:v>
                </c:pt>
                <c:pt idx="10">
                  <c:v>93.71166906061093</c:v>
                </c:pt>
                <c:pt idx="11">
                  <c:v>101.12226693240301</c:v>
                </c:pt>
                <c:pt idx="12">
                  <c:v>109.7704560928544</c:v>
                </c:pt>
                <c:pt idx="13">
                  <c:v>115.37752569901777</c:v>
                </c:pt>
                <c:pt idx="14">
                  <c:v>119.25700377901777</c:v>
                </c:pt>
                <c:pt idx="15">
                  <c:v>129.1501178406464</c:v>
                </c:pt>
                <c:pt idx="16">
                  <c:v>129.1501178406464</c:v>
                </c:pt>
                <c:pt idx="17">
                  <c:v>136.08516284301984</c:v>
                </c:pt>
                <c:pt idx="18">
                  <c:v>141.65946223582935</c:v>
                </c:pt>
                <c:pt idx="19">
                  <c:v>152.99366928116268</c:v>
                </c:pt>
                <c:pt idx="20">
                  <c:v>157.70102224116269</c:v>
                </c:pt>
                <c:pt idx="21">
                  <c:v>161.55540643674451</c:v>
                </c:pt>
                <c:pt idx="22">
                  <c:v>168.0216399539905</c:v>
                </c:pt>
                <c:pt idx="23">
                  <c:v>171.53684809401298</c:v>
                </c:pt>
                <c:pt idx="24">
                  <c:v>174.89346560609607</c:v>
                </c:pt>
                <c:pt idx="25">
                  <c:v>178.51414628938048</c:v>
                </c:pt>
                <c:pt idx="26">
                  <c:v>182.13015356583367</c:v>
                </c:pt>
                <c:pt idx="27">
                  <c:v>185.77166375216279</c:v>
                </c:pt>
                <c:pt idx="28">
                  <c:v>196.11410599816278</c:v>
                </c:pt>
                <c:pt idx="29">
                  <c:v>199.57066680885791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98-4707-A361-BB5F7955A94C}"/>
            </c:ext>
          </c:extLst>
        </c:ser>
        <c:ser>
          <c:idx val="3"/>
          <c:order val="3"/>
          <c:tx>
            <c:v>Per Cycle</c:v>
          </c:tx>
          <c:marker>
            <c:symbol val="none"/>
          </c:marker>
          <c: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98-4707-A361-BB5F7955A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72841"/>
        <c:axId val="526947075"/>
      </c:lineChart>
      <c:catAx>
        <c:axId val="19987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auto val="1"/>
        <c:lblAlgn val="ctr"/>
        <c:lblOffset val="100"/>
        <c:noMultiLvlLbl val="1"/>
      </c:cat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Run 1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3104604452463369"/>
          <c:y val="1.948503827418232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mpd="sng">
              <a:solidFill>
                <a:srgbClr val="0070C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1.7004474689729786E-2"/>
                  <c:y val="-0.63526791927627002"/>
                </c:manualLayout>
              </c:layout>
              <c:numFmt formatCode="General" sourceLinked="0"/>
            </c:trendlineLbl>
          </c:trendline>
          <c: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7A-4D66-8D3A-5D33555A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1</a:t>
            </a: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</c:v>
          </c:tx>
          <c:spPr>
            <a:ln w="25400">
              <a:noFill/>
            </a:ln>
          </c:spPr>
          <c:xVal>
            <c:numRef>
              <c:f>'Run 1 Gen 1 '!$B$7:$B$36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'Run 1 Gen 1 '!$X$7:$X$36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99.99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99.99</c:v>
                </c:pt>
                <c:pt idx="10">
                  <c:v>99.99</c:v>
                </c:pt>
                <c:pt idx="11">
                  <c:v>99.99</c:v>
                </c:pt>
                <c:pt idx="12">
                  <c:v>100</c:v>
                </c:pt>
                <c:pt idx="13">
                  <c:v>99.99</c:v>
                </c:pt>
                <c:pt idx="14">
                  <c:v>99.97</c:v>
                </c:pt>
                <c:pt idx="15">
                  <c:v>100</c:v>
                </c:pt>
                <c:pt idx="17">
                  <c:v>99.99</c:v>
                </c:pt>
                <c:pt idx="18">
                  <c:v>99.99</c:v>
                </c:pt>
                <c:pt idx="19">
                  <c:v>99.99</c:v>
                </c:pt>
                <c:pt idx="20">
                  <c:v>99.95</c:v>
                </c:pt>
                <c:pt idx="21">
                  <c:v>99.99</c:v>
                </c:pt>
                <c:pt idx="22">
                  <c:v>99.99</c:v>
                </c:pt>
                <c:pt idx="23">
                  <c:v>99.95</c:v>
                </c:pt>
                <c:pt idx="24">
                  <c:v>99.99</c:v>
                </c:pt>
                <c:pt idx="25">
                  <c:v>99.99</c:v>
                </c:pt>
                <c:pt idx="26">
                  <c:v>100</c:v>
                </c:pt>
                <c:pt idx="27">
                  <c:v>100</c:v>
                </c:pt>
                <c:pt idx="28">
                  <c:v>99.98</c:v>
                </c:pt>
                <c:pt idx="29">
                  <c:v>99.99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65-4CE4-A973-5E0497520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Run 1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1 Gen 1 '!$AD$7:$AD$36</c:f>
              <c:numCache>
                <c:formatCode>0.00</c:formatCode>
                <c:ptCount val="30"/>
                <c:pt idx="0">
                  <c:v>0.20161057866666754</c:v>
                </c:pt>
                <c:pt idx="1">
                  <c:v>0.40322115733333508</c:v>
                </c:pt>
                <c:pt idx="2">
                  <c:v>0.88652475733333347</c:v>
                </c:pt>
                <c:pt idx="3">
                  <c:v>1.3465247573333334</c:v>
                </c:pt>
                <c:pt idx="4">
                  <c:v>1.3465247573333334</c:v>
                </c:pt>
                <c:pt idx="5">
                  <c:v>2.7065247573333338</c:v>
                </c:pt>
                <c:pt idx="6">
                  <c:v>4.0565247573333334</c:v>
                </c:pt>
                <c:pt idx="7">
                  <c:v>5.3965247573333333</c:v>
                </c:pt>
                <c:pt idx="8">
                  <c:v>6.0665247573333332</c:v>
                </c:pt>
                <c:pt idx="9">
                  <c:v>6.4265247573333335</c:v>
                </c:pt>
                <c:pt idx="10">
                  <c:v>7.0465247573333336</c:v>
                </c:pt>
                <c:pt idx="11">
                  <c:v>7.7665247573333334</c:v>
                </c:pt>
                <c:pt idx="12">
                  <c:v>8.4265247573333326</c:v>
                </c:pt>
                <c:pt idx="13">
                  <c:v>9.0665247573333332</c:v>
                </c:pt>
                <c:pt idx="14">
                  <c:v>9.7365247573333331</c:v>
                </c:pt>
                <c:pt idx="15">
                  <c:v>10.196524757333334</c:v>
                </c:pt>
                <c:pt idx="16">
                  <c:v>10.566524757333333</c:v>
                </c:pt>
                <c:pt idx="17">
                  <c:v>11.156524757333333</c:v>
                </c:pt>
                <c:pt idx="18">
                  <c:v>11.786524757333334</c:v>
                </c:pt>
                <c:pt idx="19">
                  <c:v>12.226524757333333</c:v>
                </c:pt>
                <c:pt idx="20">
                  <c:v>12.676524757333333</c:v>
                </c:pt>
                <c:pt idx="21">
                  <c:v>13.216524757333332</c:v>
                </c:pt>
                <c:pt idx="22">
                  <c:v>13.776524757333332</c:v>
                </c:pt>
                <c:pt idx="23">
                  <c:v>14.026524757333332</c:v>
                </c:pt>
                <c:pt idx="24">
                  <c:v>14.246524757333333</c:v>
                </c:pt>
                <c:pt idx="25">
                  <c:v>14.476524757333333</c:v>
                </c:pt>
                <c:pt idx="26">
                  <c:v>14.676524757333333</c:v>
                </c:pt>
                <c:pt idx="27">
                  <c:v>14.946524757333332</c:v>
                </c:pt>
                <c:pt idx="28">
                  <c:v>15.146524757333331</c:v>
                </c:pt>
                <c:pt idx="29">
                  <c:v>15.346524757333331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8-4D8B-86CE-95ADB28FF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3158"/>
        <c:axId val="1398771263"/>
      </c:lineChart>
      <c:catAx>
        <c:axId val="12016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98771263"/>
        <c:crosses val="autoZero"/>
        <c:auto val="1"/>
        <c:lblAlgn val="ctr"/>
        <c:lblOffset val="100"/>
        <c:noMultiLvlLbl val="1"/>
      </c:catAx>
      <c:valAx>
        <c:axId val="1398771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CO2 Captured, kg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0163158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1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CO2 Recovery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C-44E7-9131-524DE5475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Co2 Recovery</c:v>
                </c:tx>
                <c:spPr>
                  <a:ln w="28575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'Run 1 Gen 1 '!$AD$7:$AD$36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0.20161057866666754</c:v>
                      </c:pt>
                      <c:pt idx="1">
                        <c:v>0.40322115733333508</c:v>
                      </c:pt>
                      <c:pt idx="2">
                        <c:v>0.88652475733333347</c:v>
                      </c:pt>
                      <c:pt idx="3">
                        <c:v>1.3465247573333334</c:v>
                      </c:pt>
                      <c:pt idx="4">
                        <c:v>1.3465247573333334</c:v>
                      </c:pt>
                      <c:pt idx="5">
                        <c:v>2.7065247573333338</c:v>
                      </c:pt>
                      <c:pt idx="6">
                        <c:v>4.0565247573333334</c:v>
                      </c:pt>
                      <c:pt idx="7">
                        <c:v>5.3965247573333333</c:v>
                      </c:pt>
                      <c:pt idx="8">
                        <c:v>6.0665247573333332</c:v>
                      </c:pt>
                      <c:pt idx="9">
                        <c:v>6.4265247573333335</c:v>
                      </c:pt>
                      <c:pt idx="10">
                        <c:v>7.0465247573333336</c:v>
                      </c:pt>
                      <c:pt idx="11">
                        <c:v>7.7665247573333334</c:v>
                      </c:pt>
                      <c:pt idx="12">
                        <c:v>8.4265247573333326</c:v>
                      </c:pt>
                      <c:pt idx="13">
                        <c:v>9.0665247573333332</c:v>
                      </c:pt>
                      <c:pt idx="14">
                        <c:v>9.7365247573333331</c:v>
                      </c:pt>
                      <c:pt idx="15">
                        <c:v>10.196524757333334</c:v>
                      </c:pt>
                      <c:pt idx="16">
                        <c:v>10.566524757333333</c:v>
                      </c:pt>
                      <c:pt idx="17">
                        <c:v>11.156524757333333</c:v>
                      </c:pt>
                      <c:pt idx="18">
                        <c:v>11.786524757333334</c:v>
                      </c:pt>
                      <c:pt idx="19">
                        <c:v>12.226524757333333</c:v>
                      </c:pt>
                      <c:pt idx="20">
                        <c:v>12.676524757333333</c:v>
                      </c:pt>
                      <c:pt idx="21">
                        <c:v>13.216524757333332</c:v>
                      </c:pt>
                      <c:pt idx="22">
                        <c:v>13.776524757333332</c:v>
                      </c:pt>
                      <c:pt idx="23">
                        <c:v>14.026524757333332</c:v>
                      </c:pt>
                      <c:pt idx="24">
                        <c:v>14.246524757333333</c:v>
                      </c:pt>
                      <c:pt idx="25">
                        <c:v>14.476524757333333</c:v>
                      </c:pt>
                      <c:pt idx="26">
                        <c:v>14.676524757333333</c:v>
                      </c:pt>
                      <c:pt idx="27">
                        <c:v>14.946524757333332</c:v>
                      </c:pt>
                      <c:pt idx="28">
                        <c:v>15.146524757333331</c:v>
                      </c:pt>
                      <c:pt idx="29">
                        <c:v>15.346524757333331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44C-44E7-9131-524DE547511D}"/>
                  </c:ext>
                </c:extLst>
              </c15:ser>
            </c15:filteredLineSeries>
          </c:ext>
        </c:extLst>
      </c:lineChart>
      <c:lineChart>
        <c:grouping val="standard"/>
        <c:varyColors val="1"/>
        <c:ser>
          <c:idx val="2"/>
          <c:order val="2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'Run 1 Gen 1 '!$AF$7:$AF$36</c:f>
              <c:numCache>
                <c:formatCode>General</c:formatCode>
                <c:ptCount val="30"/>
                <c:pt idx="0">
                  <c:v>5.08</c:v>
                </c:pt>
                <c:pt idx="1">
                  <c:v>2.04</c:v>
                </c:pt>
                <c:pt idx="2">
                  <c:v>6.89</c:v>
                </c:pt>
                <c:pt idx="3">
                  <c:v>5.67</c:v>
                </c:pt>
                <c:pt idx="5">
                  <c:v>24.82</c:v>
                </c:pt>
                <c:pt idx="7">
                  <c:v>16.95</c:v>
                </c:pt>
                <c:pt idx="8">
                  <c:v>9.86</c:v>
                </c:pt>
                <c:pt idx="9">
                  <c:v>6.01</c:v>
                </c:pt>
                <c:pt idx="10">
                  <c:v>12.22</c:v>
                </c:pt>
                <c:pt idx="11">
                  <c:v>11.15</c:v>
                </c:pt>
                <c:pt idx="12">
                  <c:v>8.76</c:v>
                </c:pt>
                <c:pt idx="13">
                  <c:v>13.1</c:v>
                </c:pt>
                <c:pt idx="14">
                  <c:v>19.82</c:v>
                </c:pt>
                <c:pt idx="15">
                  <c:v>5.34</c:v>
                </c:pt>
                <c:pt idx="16">
                  <c:v>0</c:v>
                </c:pt>
                <c:pt idx="17">
                  <c:v>9.76</c:v>
                </c:pt>
                <c:pt idx="18">
                  <c:v>12.97</c:v>
                </c:pt>
                <c:pt idx="19">
                  <c:v>4.46</c:v>
                </c:pt>
                <c:pt idx="20">
                  <c:v>10.97</c:v>
                </c:pt>
                <c:pt idx="21">
                  <c:v>16.079999999999998</c:v>
                </c:pt>
                <c:pt idx="22">
                  <c:v>9.94</c:v>
                </c:pt>
                <c:pt idx="23">
                  <c:v>8.16</c:v>
                </c:pt>
                <c:pt idx="24">
                  <c:v>7.52</c:v>
                </c:pt>
                <c:pt idx="25">
                  <c:v>7.29</c:v>
                </c:pt>
                <c:pt idx="26">
                  <c:v>6.35</c:v>
                </c:pt>
                <c:pt idx="27">
                  <c:v>8.51</c:v>
                </c:pt>
                <c:pt idx="28">
                  <c:v>2.2200000000000002</c:v>
                </c:pt>
                <c:pt idx="29">
                  <c:v>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C-44E7-9131-524DE5475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7744"/>
        <c:axId val="1615844480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</a:t>
                </a:r>
                <a:r>
                  <a:rPr lang="en-GB" baseline="0"/>
                  <a:t> Recovered,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6158444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Recovery of CO2,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77744"/>
        <c:crosses val="max"/>
        <c:crossBetween val="between"/>
      </c:valAx>
      <c:catAx>
        <c:axId val="3437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8444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1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1 Gen 1 '!$AF$7:$AF$36</c:f>
              <c:numCache>
                <c:formatCode>General</c:formatCode>
                <c:ptCount val="30"/>
                <c:pt idx="0">
                  <c:v>5.08</c:v>
                </c:pt>
                <c:pt idx="1">
                  <c:v>2.04</c:v>
                </c:pt>
                <c:pt idx="2">
                  <c:v>6.89</c:v>
                </c:pt>
                <c:pt idx="3">
                  <c:v>5.67</c:v>
                </c:pt>
                <c:pt idx="5">
                  <c:v>24.82</c:v>
                </c:pt>
                <c:pt idx="7">
                  <c:v>16.95</c:v>
                </c:pt>
                <c:pt idx="8">
                  <c:v>9.86</c:v>
                </c:pt>
                <c:pt idx="9">
                  <c:v>6.01</c:v>
                </c:pt>
                <c:pt idx="10">
                  <c:v>12.22</c:v>
                </c:pt>
                <c:pt idx="11">
                  <c:v>11.15</c:v>
                </c:pt>
                <c:pt idx="12">
                  <c:v>8.76</c:v>
                </c:pt>
                <c:pt idx="13">
                  <c:v>13.1</c:v>
                </c:pt>
                <c:pt idx="14">
                  <c:v>19.82</c:v>
                </c:pt>
                <c:pt idx="15">
                  <c:v>5.34</c:v>
                </c:pt>
                <c:pt idx="16">
                  <c:v>0</c:v>
                </c:pt>
                <c:pt idx="17">
                  <c:v>9.76</c:v>
                </c:pt>
                <c:pt idx="18">
                  <c:v>12.97</c:v>
                </c:pt>
                <c:pt idx="19">
                  <c:v>4.46</c:v>
                </c:pt>
                <c:pt idx="20">
                  <c:v>10.97</c:v>
                </c:pt>
                <c:pt idx="21">
                  <c:v>16.079999999999998</c:v>
                </c:pt>
                <c:pt idx="22">
                  <c:v>9.94</c:v>
                </c:pt>
                <c:pt idx="23">
                  <c:v>8.16</c:v>
                </c:pt>
                <c:pt idx="24">
                  <c:v>7.52</c:v>
                </c:pt>
                <c:pt idx="25">
                  <c:v>7.29</c:v>
                </c:pt>
                <c:pt idx="26">
                  <c:v>6.35</c:v>
                </c:pt>
                <c:pt idx="27">
                  <c:v>8.51</c:v>
                </c:pt>
                <c:pt idx="28">
                  <c:v>2.2200000000000002</c:v>
                </c:pt>
                <c:pt idx="29">
                  <c:v>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07B-A582-DB45FB82F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210351"/>
        <c:axId val="1138649703"/>
      </c:lineChart>
      <c:catAx>
        <c:axId val="21821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auto val="1"/>
        <c:lblAlgn val="ctr"/>
        <c:lblOffset val="100"/>
        <c:noMultiLvlLbl val="1"/>
      </c:catAx>
      <c:valAx>
        <c:axId val="1138649703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Daily Recovery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'Run 1 Gen 1 '!$AC$7:$AC$36</c:f>
              <c:numCache>
                <c:formatCode>0.00</c:formatCode>
                <c:ptCount val="30"/>
                <c:pt idx="0">
                  <c:v>0.20161057866666754</c:v>
                </c:pt>
                <c:pt idx="1">
                  <c:v>0.20161057866666754</c:v>
                </c:pt>
                <c:pt idx="2">
                  <c:v>0.48330359999999845</c:v>
                </c:pt>
                <c:pt idx="3" formatCode="General">
                  <c:v>0.46</c:v>
                </c:pt>
                <c:pt idx="4" formatCode="General">
                  <c:v>0</c:v>
                </c:pt>
                <c:pt idx="5" formatCode="General">
                  <c:v>1.36</c:v>
                </c:pt>
                <c:pt idx="6" formatCode="General">
                  <c:v>1.35</c:v>
                </c:pt>
                <c:pt idx="7" formatCode="General">
                  <c:v>1.34</c:v>
                </c:pt>
                <c:pt idx="8" formatCode="General">
                  <c:v>0.67</c:v>
                </c:pt>
                <c:pt idx="9" formatCode="General">
                  <c:v>0.36</c:v>
                </c:pt>
                <c:pt idx="10" formatCode="General">
                  <c:v>0.62</c:v>
                </c:pt>
                <c:pt idx="11" formatCode="General">
                  <c:v>0.72</c:v>
                </c:pt>
                <c:pt idx="12" formatCode="General">
                  <c:v>0.66</c:v>
                </c:pt>
                <c:pt idx="13" formatCode="General">
                  <c:v>0.64</c:v>
                </c:pt>
                <c:pt idx="14" formatCode="General">
                  <c:v>0.67</c:v>
                </c:pt>
                <c:pt idx="15" formatCode="General">
                  <c:v>0.46</c:v>
                </c:pt>
                <c:pt idx="16" formatCode="General">
                  <c:v>0.37</c:v>
                </c:pt>
                <c:pt idx="17" formatCode="General">
                  <c:v>0.59</c:v>
                </c:pt>
                <c:pt idx="18" formatCode="General">
                  <c:v>0.63</c:v>
                </c:pt>
                <c:pt idx="19" formatCode="General">
                  <c:v>0.44</c:v>
                </c:pt>
                <c:pt idx="20" formatCode="General">
                  <c:v>0.45</c:v>
                </c:pt>
                <c:pt idx="21" formatCode="General">
                  <c:v>0.54</c:v>
                </c:pt>
                <c:pt idx="22" formatCode="General">
                  <c:v>0.56000000000000005</c:v>
                </c:pt>
                <c:pt idx="23" formatCode="General">
                  <c:v>0.25</c:v>
                </c:pt>
                <c:pt idx="24" formatCode="General">
                  <c:v>0.22</c:v>
                </c:pt>
                <c:pt idx="25" formatCode="General">
                  <c:v>0.23</c:v>
                </c:pt>
                <c:pt idx="26" formatCode="General">
                  <c:v>0.2</c:v>
                </c:pt>
                <c:pt idx="27" formatCode="General">
                  <c:v>0.27</c:v>
                </c:pt>
                <c:pt idx="28" formatCode="General">
                  <c:v>0.2</c:v>
                </c:pt>
                <c:pt idx="29" formatCode="General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0-486C-8C6F-DB05A472B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217"/>
        <c:axId val="526601337"/>
      </c:lineChart>
      <c:catAx>
        <c:axId val="633555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auto val="1"/>
        <c:lblAlgn val="ctr"/>
        <c:lblOffset val="100"/>
        <c:noMultiLvlLbl val="1"/>
      </c:catAx>
      <c:valAx>
        <c:axId val="526601337"/>
        <c:scaling>
          <c:orientation val="minMax"/>
          <c:max val="1.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between"/>
        <c:majorUnit val="0.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 per Cycle
Run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2.3391916010498687E-2"/>
                  <c:y val="-0.33906189145711624"/>
                </c:manualLayout>
              </c:layout>
              <c:numFmt formatCode="General" sourceLinked="0"/>
            </c:trendlineLbl>
          </c:trendline>
          <c:val>
            <c:numRef>
              <c:f>'Run 1 Gen 1 '!$C$7:$C$36</c:f>
              <c:numCache>
                <c:formatCode>h:mm</c:formatCode>
                <c:ptCount val="30"/>
                <c:pt idx="0">
                  <c:v>0.27916666666666667</c:v>
                </c:pt>
                <c:pt idx="1">
                  <c:v>0.3347222222222222</c:v>
                </c:pt>
                <c:pt idx="2">
                  <c:v>0.24722222222222218</c:v>
                </c:pt>
                <c:pt idx="3">
                  <c:v>0.2805555555555555</c:v>
                </c:pt>
                <c:pt idx="4">
                  <c:v>0.27222222222222225</c:v>
                </c:pt>
                <c:pt idx="5">
                  <c:v>0.22152777777777782</c:v>
                </c:pt>
                <c:pt idx="6">
                  <c:v>0.29652777777777778</c:v>
                </c:pt>
                <c:pt idx="7">
                  <c:v>0.27222222222222225</c:v>
                </c:pt>
                <c:pt idx="8">
                  <c:v>0.24791666666666662</c:v>
                </c:pt>
                <c:pt idx="9">
                  <c:v>0.2541666666666666</c:v>
                </c:pt>
                <c:pt idx="10">
                  <c:v>0.22361111111111115</c:v>
                </c:pt>
                <c:pt idx="11">
                  <c:v>0.21527777777777785</c:v>
                </c:pt>
                <c:pt idx="12">
                  <c:v>0.25277777777777777</c:v>
                </c:pt>
                <c:pt idx="13">
                  <c:v>0.2729166666666667</c:v>
                </c:pt>
                <c:pt idx="14">
                  <c:v>0.21944444444444444</c:v>
                </c:pt>
                <c:pt idx="15">
                  <c:v>0.27083333333333326</c:v>
                </c:pt>
                <c:pt idx="16">
                  <c:v>0.18472222222222223</c:v>
                </c:pt>
                <c:pt idx="17">
                  <c:v>0.24166666666666664</c:v>
                </c:pt>
                <c:pt idx="18">
                  <c:v>0.22291666666666671</c:v>
                </c:pt>
                <c:pt idx="19">
                  <c:v>0.21666666666666667</c:v>
                </c:pt>
                <c:pt idx="20">
                  <c:v>0.17777777777777781</c:v>
                </c:pt>
                <c:pt idx="21">
                  <c:v>0.2048611111111111</c:v>
                </c:pt>
                <c:pt idx="22">
                  <c:v>0.21597222222222223</c:v>
                </c:pt>
                <c:pt idx="23">
                  <c:v>0.2277777777777778</c:v>
                </c:pt>
                <c:pt idx="24">
                  <c:v>0.21250000000000002</c:v>
                </c:pt>
                <c:pt idx="25">
                  <c:v>0.23958333333333337</c:v>
                </c:pt>
                <c:pt idx="26">
                  <c:v>0.19930555555555551</c:v>
                </c:pt>
                <c:pt idx="27">
                  <c:v>0.22083333333333338</c:v>
                </c:pt>
                <c:pt idx="28">
                  <c:v>0.25486111111111115</c:v>
                </c:pt>
                <c:pt idx="29">
                  <c:v>0.18958333333333338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9-4654-ACA7-744DEC75B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667578"/>
        <c:axId val="1045260324"/>
      </c:lineChart>
      <c:catAx>
        <c:axId val="156866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45260324"/>
        <c:crosses val="autoZero"/>
        <c:auto val="1"/>
        <c:lblAlgn val="ctr"/>
        <c:lblOffset val="100"/>
        <c:noMultiLvlLbl val="1"/>
      </c:catAx>
      <c:valAx>
        <c:axId val="1045260324"/>
        <c:scaling>
          <c:orientation val="minMax"/>
          <c:max val="0.3500000000000000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 of Operation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866757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CO₂ Concentration During Adsorption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Flue Gas Inlet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1 Gen 1 '!$G$7:$G$36</c:f>
              <c:numCache>
                <c:formatCode>General</c:formatCode>
                <c:ptCount val="30"/>
                <c:pt idx="0">
                  <c:v>14.9</c:v>
                </c:pt>
                <c:pt idx="1">
                  <c:v>14.9</c:v>
                </c:pt>
                <c:pt idx="2">
                  <c:v>14.9</c:v>
                </c:pt>
                <c:pt idx="3">
                  <c:v>14.9</c:v>
                </c:pt>
                <c:pt idx="4">
                  <c:v>14.9</c:v>
                </c:pt>
                <c:pt idx="5">
                  <c:v>14.9</c:v>
                </c:pt>
                <c:pt idx="6">
                  <c:v>14.9</c:v>
                </c:pt>
                <c:pt idx="7">
                  <c:v>14.9</c:v>
                </c:pt>
                <c:pt idx="8">
                  <c:v>14.9</c:v>
                </c:pt>
                <c:pt idx="9">
                  <c:v>14.9</c:v>
                </c:pt>
                <c:pt idx="10">
                  <c:v>14.9</c:v>
                </c:pt>
                <c:pt idx="11">
                  <c:v>14.9</c:v>
                </c:pt>
                <c:pt idx="12">
                  <c:v>14.9</c:v>
                </c:pt>
                <c:pt idx="13">
                  <c:v>14.9</c:v>
                </c:pt>
                <c:pt idx="14">
                  <c:v>14.9</c:v>
                </c:pt>
                <c:pt idx="15">
                  <c:v>14.9</c:v>
                </c:pt>
                <c:pt idx="16">
                  <c:v>14.9</c:v>
                </c:pt>
                <c:pt idx="17">
                  <c:v>14.9</c:v>
                </c:pt>
                <c:pt idx="18">
                  <c:v>14.9</c:v>
                </c:pt>
                <c:pt idx="19">
                  <c:v>14.9</c:v>
                </c:pt>
                <c:pt idx="20">
                  <c:v>14.9</c:v>
                </c:pt>
                <c:pt idx="21">
                  <c:v>14.9</c:v>
                </c:pt>
                <c:pt idx="22">
                  <c:v>14.9</c:v>
                </c:pt>
                <c:pt idx="23">
                  <c:v>14.9</c:v>
                </c:pt>
                <c:pt idx="24">
                  <c:v>14.9</c:v>
                </c:pt>
                <c:pt idx="25">
                  <c:v>14.9</c:v>
                </c:pt>
                <c:pt idx="26">
                  <c:v>14.9</c:v>
                </c:pt>
                <c:pt idx="27">
                  <c:v>14.9</c:v>
                </c:pt>
                <c:pt idx="28">
                  <c:v>14.9</c:v>
                </c:pt>
                <c:pt idx="29">
                  <c:v>14.9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8C-441A-89B9-C965D1E85820}"/>
            </c:ext>
          </c:extLst>
        </c:ser>
        <c:ser>
          <c:idx val="1"/>
          <c:order val="1"/>
          <c:tx>
            <c:v>Reactor Effluent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1 Gen 1 '!$N$7:$N$36</c:f>
              <c:numCache>
                <c:formatCode>0.0000</c:formatCode>
                <c:ptCount val="30"/>
                <c:pt idx="0">
                  <c:v>5.0000000000000001E-4</c:v>
                </c:pt>
                <c:pt idx="1">
                  <c:v>1.5898584905660356E-4</c:v>
                </c:pt>
                <c:pt idx="2">
                  <c:v>1.6000000000000001E-3</c:v>
                </c:pt>
                <c:pt idx="3">
                  <c:v>5.9543478260869578E-4</c:v>
                </c:pt>
                <c:pt idx="4">
                  <c:v>5.0000000000000001E-4</c:v>
                </c:pt>
                <c:pt idx="5" formatCode="0.00000">
                  <c:v>4.0222222222222241E-5</c:v>
                </c:pt>
                <c:pt idx="6" formatCode="0.00000">
                  <c:v>0</c:v>
                </c:pt>
                <c:pt idx="7">
                  <c:v>6.9787804878048527E-4</c:v>
                </c:pt>
                <c:pt idx="8">
                  <c:v>7.4373417721518992E-4</c:v>
                </c:pt>
                <c:pt idx="9" formatCode="0.000">
                  <c:v>2.7598067632850433E-3</c:v>
                </c:pt>
                <c:pt idx="10">
                  <c:v>8.8038759689922552E-4</c:v>
                </c:pt>
                <c:pt idx="11" formatCode="0.000">
                  <c:v>1.2424336283185845E-3</c:v>
                </c:pt>
                <c:pt idx="12">
                  <c:v>4.7220136518771601E-4</c:v>
                </c:pt>
                <c:pt idx="13" formatCode="0.000">
                  <c:v>1.2670843989769824E-3</c:v>
                </c:pt>
                <c:pt idx="14" formatCode="0.000">
                  <c:v>6.0000000000000001E-3</c:v>
                </c:pt>
                <c:pt idx="15">
                  <c:v>8.622782874617732E-4</c:v>
                </c:pt>
                <c:pt idx="16">
                  <c:v>0</c:v>
                </c:pt>
                <c:pt idx="17" formatCode="0.000">
                  <c:v>2.0828723404255332E-3</c:v>
                </c:pt>
                <c:pt idx="18" formatCode="0.000">
                  <c:v>3.6769688385269142E-3</c:v>
                </c:pt>
                <c:pt idx="19" formatCode="0.000">
                  <c:v>1.4E-3</c:v>
                </c:pt>
                <c:pt idx="20" formatCode="0.000">
                  <c:v>0.01</c:v>
                </c:pt>
                <c:pt idx="21" formatCode="0.000">
                  <c:v>1.4825206611570219E-3</c:v>
                </c:pt>
                <c:pt idx="22" formatCode="0.000">
                  <c:v>1.9673287671232945E-3</c:v>
                </c:pt>
                <c:pt idx="23" formatCode="0.000">
                  <c:v>6.3147222222222337E-3</c:v>
                </c:pt>
                <c:pt idx="24" formatCode="0.000">
                  <c:v>1.0243127962085311E-3</c:v>
                </c:pt>
                <c:pt idx="25" formatCode="0.000">
                  <c:v>1.354E-3</c:v>
                </c:pt>
                <c:pt idx="26">
                  <c:v>7.9273809523809516E-4</c:v>
                </c:pt>
                <c:pt idx="27" formatCode="General">
                  <c:v>1.1010714285714283E-3</c:v>
                </c:pt>
                <c:pt idx="28" formatCode="General">
                  <c:v>6.0000000000000001E-3</c:v>
                </c:pt>
                <c:pt idx="29" formatCode="0.000">
                  <c:v>1.3751333333333331E-3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8C-441A-89B9-C965D1E85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408236"/>
        <c:axId val="1294820600"/>
      </c:lineChart>
      <c:catAx>
        <c:axId val="14354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94820600"/>
        <c:crosses val="autoZero"/>
        <c:auto val="1"/>
        <c:lblAlgn val="ctr"/>
        <c:lblOffset val="100"/>
        <c:noMultiLvlLbl val="1"/>
      </c:catAx>
      <c:valAx>
        <c:axId val="1294820600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Concentration,</a:t>
                </a:r>
                <a:r>
                  <a:rPr lang="en-GB" baseline="0"/>
                  <a:t> vol%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35408236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Recovery Run 1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0-4A29-93E7-30DB7CE0DF56}"/>
            </c:ext>
          </c:extLst>
        </c:ser>
        <c:ser>
          <c:idx val="1"/>
          <c:order val="1"/>
          <c:tx>
            <c:v>CO2 Recovery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'Run 1 Gen 1 '!$AC$7:$AC$36</c:f>
              <c:numCache>
                <c:formatCode>0.00</c:formatCode>
                <c:ptCount val="30"/>
                <c:pt idx="0">
                  <c:v>0.20161057866666754</c:v>
                </c:pt>
                <c:pt idx="1">
                  <c:v>0.20161057866666754</c:v>
                </c:pt>
                <c:pt idx="2">
                  <c:v>0.48330359999999845</c:v>
                </c:pt>
                <c:pt idx="3" formatCode="General">
                  <c:v>0.46</c:v>
                </c:pt>
                <c:pt idx="4" formatCode="General">
                  <c:v>0</c:v>
                </c:pt>
                <c:pt idx="5" formatCode="General">
                  <c:v>1.36</c:v>
                </c:pt>
                <c:pt idx="6" formatCode="General">
                  <c:v>1.35</c:v>
                </c:pt>
                <c:pt idx="7" formatCode="General">
                  <c:v>1.34</c:v>
                </c:pt>
                <c:pt idx="8" formatCode="General">
                  <c:v>0.67</c:v>
                </c:pt>
                <c:pt idx="9" formatCode="General">
                  <c:v>0.36</c:v>
                </c:pt>
                <c:pt idx="10" formatCode="General">
                  <c:v>0.62</c:v>
                </c:pt>
                <c:pt idx="11" formatCode="General">
                  <c:v>0.72</c:v>
                </c:pt>
                <c:pt idx="12" formatCode="General">
                  <c:v>0.66</c:v>
                </c:pt>
                <c:pt idx="13" formatCode="General">
                  <c:v>0.64</c:v>
                </c:pt>
                <c:pt idx="14" formatCode="General">
                  <c:v>0.67</c:v>
                </c:pt>
                <c:pt idx="15" formatCode="General">
                  <c:v>0.46</c:v>
                </c:pt>
                <c:pt idx="16" formatCode="General">
                  <c:v>0.37</c:v>
                </c:pt>
                <c:pt idx="17" formatCode="General">
                  <c:v>0.59</c:v>
                </c:pt>
                <c:pt idx="18" formatCode="General">
                  <c:v>0.63</c:v>
                </c:pt>
                <c:pt idx="19" formatCode="General">
                  <c:v>0.44</c:v>
                </c:pt>
                <c:pt idx="20" formatCode="General">
                  <c:v>0.45</c:v>
                </c:pt>
                <c:pt idx="21" formatCode="General">
                  <c:v>0.54</c:v>
                </c:pt>
                <c:pt idx="22" formatCode="General">
                  <c:v>0.56000000000000005</c:v>
                </c:pt>
                <c:pt idx="23" formatCode="General">
                  <c:v>0.25</c:v>
                </c:pt>
                <c:pt idx="24" formatCode="General">
                  <c:v>0.22</c:v>
                </c:pt>
                <c:pt idx="25" formatCode="General">
                  <c:v>0.23</c:v>
                </c:pt>
                <c:pt idx="26" formatCode="General">
                  <c:v>0.2</c:v>
                </c:pt>
                <c:pt idx="27" formatCode="General">
                  <c:v>0.27</c:v>
                </c:pt>
                <c:pt idx="28" formatCode="General">
                  <c:v>0.2</c:v>
                </c:pt>
                <c:pt idx="29" formatCode="General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0-4A29-93E7-30DB7CE0D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3311"/>
        <c:axId val="186132515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 Captured &amp; Recovery,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Concentration flue gas in Run 1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E-4E76-84AE-429D0A55A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33311"/>
        <c:axId val="1861325151"/>
      </c:lineChart>
      <c:lineChart>
        <c:grouping val="standard"/>
        <c:varyColors val="0"/>
        <c:ser>
          <c:idx val="1"/>
          <c:order val="1"/>
          <c:tx>
            <c:v>Conc flue gas in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'Run 1 Gen 1 '!$G$7:$G$36</c:f>
              <c:numCache>
                <c:formatCode>General</c:formatCode>
                <c:ptCount val="30"/>
                <c:pt idx="0">
                  <c:v>14.9</c:v>
                </c:pt>
                <c:pt idx="1">
                  <c:v>14.9</c:v>
                </c:pt>
                <c:pt idx="2">
                  <c:v>14.9</c:v>
                </c:pt>
                <c:pt idx="3">
                  <c:v>14.9</c:v>
                </c:pt>
                <c:pt idx="4">
                  <c:v>14.9</c:v>
                </c:pt>
                <c:pt idx="5">
                  <c:v>14.9</c:v>
                </c:pt>
                <c:pt idx="6">
                  <c:v>14.9</c:v>
                </c:pt>
                <c:pt idx="7">
                  <c:v>14.9</c:v>
                </c:pt>
                <c:pt idx="8">
                  <c:v>14.9</c:v>
                </c:pt>
                <c:pt idx="9">
                  <c:v>14.9</c:v>
                </c:pt>
                <c:pt idx="10">
                  <c:v>14.9</c:v>
                </c:pt>
                <c:pt idx="11">
                  <c:v>14.9</c:v>
                </c:pt>
                <c:pt idx="12">
                  <c:v>14.9</c:v>
                </c:pt>
                <c:pt idx="13">
                  <c:v>14.9</c:v>
                </c:pt>
                <c:pt idx="14">
                  <c:v>14.9</c:v>
                </c:pt>
                <c:pt idx="15">
                  <c:v>14.9</c:v>
                </c:pt>
                <c:pt idx="16">
                  <c:v>14.9</c:v>
                </c:pt>
                <c:pt idx="17">
                  <c:v>14.9</c:v>
                </c:pt>
                <c:pt idx="18">
                  <c:v>14.9</c:v>
                </c:pt>
                <c:pt idx="19">
                  <c:v>14.9</c:v>
                </c:pt>
                <c:pt idx="20">
                  <c:v>14.9</c:v>
                </c:pt>
                <c:pt idx="21">
                  <c:v>14.9</c:v>
                </c:pt>
                <c:pt idx="22">
                  <c:v>14.9</c:v>
                </c:pt>
                <c:pt idx="23">
                  <c:v>14.9</c:v>
                </c:pt>
                <c:pt idx="24">
                  <c:v>14.9</c:v>
                </c:pt>
                <c:pt idx="25">
                  <c:v>14.9</c:v>
                </c:pt>
                <c:pt idx="26">
                  <c:v>14.9</c:v>
                </c:pt>
                <c:pt idx="27">
                  <c:v>14.9</c:v>
                </c:pt>
                <c:pt idx="28">
                  <c:v>14.9</c:v>
                </c:pt>
                <c:pt idx="29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E-4E76-84AE-429D0A55A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47711"/>
        <c:axId val="186133091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valAx>
        <c:axId val="1861330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flue gas inlet,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7711"/>
        <c:crosses val="max"/>
        <c:crossBetween val="between"/>
      </c:valAx>
      <c:catAx>
        <c:axId val="1861347711"/>
        <c:scaling>
          <c:orientation val="minMax"/>
        </c:scaling>
        <c:delete val="1"/>
        <c:axPos val="b"/>
        <c:majorTickMark val="out"/>
        <c:minorTickMark val="none"/>
        <c:tickLblPos val="nextTo"/>
        <c:crossAx val="186133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</a:t>
            </a:r>
            <a:r>
              <a:rPr lang="en-GB" sz="1400" b="1" i="0" baseline="-25000">
                <a:solidFill>
                  <a:sysClr val="windowText" lastClr="000000"/>
                </a:solidFill>
                <a:latin typeface="+mn-lt"/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1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lineChart>
        <c:grouping val="standard"/>
        <c:varyColors val="1"/>
        <c:ser>
          <c:idx val="0"/>
          <c:order val="0"/>
          <c:tx>
            <c:v>Co2 In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1 Gen 1 '!$K$7:$K$36</c:f>
              <c:numCache>
                <c:formatCode>0.0</c:formatCode>
                <c:ptCount val="30"/>
                <c:pt idx="0">
                  <c:v>3.96545024</c:v>
                </c:pt>
                <c:pt idx="1">
                  <c:v>9.8703083200000012</c:v>
                </c:pt>
                <c:pt idx="2">
                  <c:v>7.011916160000002</c:v>
                </c:pt>
                <c:pt idx="3">
                  <c:v>8.1140012822222225</c:v>
                </c:pt>
                <c:pt idx="4">
                  <c:v>21.454664959999995</c:v>
                </c:pt>
                <c:pt idx="5">
                  <c:v>5.4799633888888888</c:v>
                </c:pt>
                <c:pt idx="6">
                  <c:v>0</c:v>
                </c:pt>
                <c:pt idx="7">
                  <c:v>7.9049626407587814</c:v>
                </c:pt>
                <c:pt idx="8">
                  <c:v>6.7956910329582767</c:v>
                </c:pt>
                <c:pt idx="9">
                  <c:v>5.9883857876543027</c:v>
                </c:pt>
                <c:pt idx="10">
                  <c:v>5.0720709863910463</c:v>
                </c:pt>
                <c:pt idx="11">
                  <c:v>6.4575331668633149</c:v>
                </c:pt>
                <c:pt idx="12">
                  <c:v>7.5356572013651899</c:v>
                </c:pt>
                <c:pt idx="13">
                  <c:v>4.8859495686274377</c:v>
                </c:pt>
                <c:pt idx="14">
                  <c:v>3.3813066666666676</c:v>
                </c:pt>
                <c:pt idx="15">
                  <c:v>8.6205538725790039</c:v>
                </c:pt>
                <c:pt idx="16">
                  <c:v>0</c:v>
                </c:pt>
                <c:pt idx="17">
                  <c:v>6.0434608670449306</c:v>
                </c:pt>
                <c:pt idx="18">
                  <c:v>4.8577182418634024</c:v>
                </c:pt>
                <c:pt idx="19">
                  <c:v>9.8766139999999982</c:v>
                </c:pt>
                <c:pt idx="20">
                  <c:v>4.1036268800000002</c:v>
                </c:pt>
                <c:pt idx="21">
                  <c:v>3.3586884666666577</c:v>
                </c:pt>
                <c:pt idx="22">
                  <c:v>5.6345779447488633</c:v>
                </c:pt>
                <c:pt idx="23">
                  <c:v>3.0643035255144118</c:v>
                </c:pt>
                <c:pt idx="24">
                  <c:v>2.9249147235387047</c:v>
                </c:pt>
                <c:pt idx="25">
                  <c:v>3.1550574974666676</c:v>
                </c:pt>
                <c:pt idx="26">
                  <c:v>3.1508789944444437</c:v>
                </c:pt>
                <c:pt idx="27">
                  <c:v>3.1731354555555509</c:v>
                </c:pt>
                <c:pt idx="28">
                  <c:v>9.0137845020000018</c:v>
                </c:pt>
                <c:pt idx="29">
                  <c:v>3.0119948693333369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E7-4106-9EA7-8105B615ECFD}"/>
            </c:ext>
          </c:extLst>
        </c:ser>
        <c:ser>
          <c:idx val="1"/>
          <c:order val="1"/>
          <c:tx>
            <c:v>Co2 Out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1 Gen 1 '!$P$7:$P$36</c:f>
              <c:numCache>
                <c:formatCode>0.0000</c:formatCode>
                <c:ptCount val="30"/>
                <c:pt idx="0">
                  <c:v>1.1040000000000001E-4</c:v>
                </c:pt>
                <c:pt idx="1">
                  <c:v>1.0311822169811307E-4</c:v>
                </c:pt>
                <c:pt idx="2">
                  <c:v>6.7712000000000013E-4</c:v>
                </c:pt>
                <c:pt idx="3">
                  <c:v>2.9352950000000012E-4</c:v>
                </c:pt>
                <c:pt idx="4">
                  <c:v>2.2386666666666667E-4</c:v>
                </c:pt>
                <c:pt idx="5">
                  <c:v>8.2951629629629679E-6</c:v>
                </c:pt>
                <c:pt idx="6">
                  <c:v>0</c:v>
                </c:pt>
                <c:pt idx="7">
                  <c:v>1.5300399382642556E-4</c:v>
                </c:pt>
                <c:pt idx="8">
                  <c:v>2.312388596271965E-4</c:v>
                </c:pt>
                <c:pt idx="9">
                  <c:v>4.7594397451661518E-4</c:v>
                </c:pt>
                <c:pt idx="10">
                  <c:v>2.687223881134287E-4</c:v>
                </c:pt>
                <c:pt idx="11">
                  <c:v>3.9656803092115748E-4</c:v>
                </c:pt>
                <c:pt idx="12">
                  <c:v>1.1541292745343713E-4</c:v>
                </c:pt>
                <c:pt idx="13">
                  <c:v>2.9533501308861144E-4</c:v>
                </c:pt>
                <c:pt idx="14">
                  <c:v>1.0819200000000001E-3</c:v>
                </c:pt>
                <c:pt idx="15">
                  <c:v>2.732686465925986E-4</c:v>
                </c:pt>
                <c:pt idx="16">
                  <c:v>0</c:v>
                </c:pt>
                <c:pt idx="17">
                  <c:v>7.3894571167849345E-4</c:v>
                </c:pt>
                <c:pt idx="18">
                  <c:v>6.6583778541696244E-4</c:v>
                </c:pt>
                <c:pt idx="19">
                  <c:v>6.9895466666666686E-4</c:v>
                </c:pt>
                <c:pt idx="20">
                  <c:v>2.1785600000000004E-3</c:v>
                </c:pt>
                <c:pt idx="21">
                  <c:v>2.1800441817840268E-4</c:v>
                </c:pt>
                <c:pt idx="22">
                  <c:v>2.9553343894977118E-4</c:v>
                </c:pt>
                <c:pt idx="23">
                  <c:v>1.5428859034568023E-3</c:v>
                </c:pt>
                <c:pt idx="24">
                  <c:v>1.6381493112164366E-4</c:v>
                </c:pt>
                <c:pt idx="25">
                  <c:v>2.2422991560266665E-4</c:v>
                </c:pt>
                <c:pt idx="26">
                  <c:v>1.0217354679894144E-4</c:v>
                </c:pt>
                <c:pt idx="27">
                  <c:v>1.4191367087301537E-4</c:v>
                </c:pt>
                <c:pt idx="28">
                  <c:v>2.2366120000000002E-3</c:v>
                </c:pt>
                <c:pt idx="29">
                  <c:v>1.5813330487407363E-4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E7-4106-9EA7-8105B615ECFD}"/>
            </c:ext>
          </c:extLst>
        </c:ser>
        <c:ser>
          <c:idx val="2"/>
          <c:order val="2"/>
          <c:tx>
            <c:v>Co2 Captured</c:v>
          </c:tx>
          <c:spPr>
            <a:ln w="28575" cmpd="sng">
              <a:solidFill>
                <a:srgbClr val="FFFF00"/>
              </a:solidFill>
              <a:prstDash val="dash"/>
            </a:ln>
          </c:spPr>
          <c:marker>
            <c:symbol val="none"/>
          </c:marker>
          <c: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EE7-4106-9EA7-8105B615E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42323"/>
        <c:axId val="86163043"/>
      </c:lineChart>
      <c:catAx>
        <c:axId val="116174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auto val="1"/>
        <c:lblAlgn val="ctr"/>
        <c:lblOffset val="100"/>
        <c:noMultiLvlLbl val="1"/>
      </c:catAx>
      <c:valAx>
        <c:axId val="86163043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2</a:t>
            </a: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
Hour Cumulative Run 2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'Run 2 Gen 1+2'!$D$5:$D$42</c:f>
              <c:numCache>
                <c:formatCode>[h]:mm</c:formatCode>
                <c:ptCount val="38"/>
                <c:pt idx="0" formatCode="h:mm">
                  <c:v>0.22777777777777777</c:v>
                </c:pt>
                <c:pt idx="1">
                  <c:v>0.45277777777777772</c:v>
                </c:pt>
                <c:pt idx="2">
                  <c:v>0.76527777777777772</c:v>
                </c:pt>
                <c:pt idx="3">
                  <c:v>0.9819444444444444</c:v>
                </c:pt>
                <c:pt idx="4">
                  <c:v>1.2020833333333334</c:v>
                </c:pt>
                <c:pt idx="5">
                  <c:v>1.4715277777777778</c:v>
                </c:pt>
                <c:pt idx="6">
                  <c:v>1.7597222222222222</c:v>
                </c:pt>
                <c:pt idx="7">
                  <c:v>2.0298611111111109</c:v>
                </c:pt>
                <c:pt idx="8">
                  <c:v>2.2937499999999997</c:v>
                </c:pt>
                <c:pt idx="9">
                  <c:v>2.5284722222222218</c:v>
                </c:pt>
                <c:pt idx="10">
                  <c:v>2.7812499999999996</c:v>
                </c:pt>
                <c:pt idx="11">
                  <c:v>3.0368055555555551</c:v>
                </c:pt>
                <c:pt idx="12">
                  <c:v>3.2680555555555548</c:v>
                </c:pt>
                <c:pt idx="13">
                  <c:v>3.4756944444444438</c:v>
                </c:pt>
                <c:pt idx="14">
                  <c:v>3.6930555555555546</c:v>
                </c:pt>
                <c:pt idx="15">
                  <c:v>3.8986111111111104</c:v>
                </c:pt>
                <c:pt idx="16">
                  <c:v>4.1097222222222216</c:v>
                </c:pt>
                <c:pt idx="17">
                  <c:v>4.3347222222222213</c:v>
                </c:pt>
                <c:pt idx="18">
                  <c:v>4.5465277777777766</c:v>
                </c:pt>
                <c:pt idx="19">
                  <c:v>4.759027777777777</c:v>
                </c:pt>
                <c:pt idx="20">
                  <c:v>4.9708333333333323</c:v>
                </c:pt>
                <c:pt idx="21">
                  <c:v>5.18611111111111</c:v>
                </c:pt>
                <c:pt idx="22">
                  <c:v>5.4027777777777768</c:v>
                </c:pt>
                <c:pt idx="23">
                  <c:v>5.6249999999999991</c:v>
                </c:pt>
                <c:pt idx="24">
                  <c:v>5.8437499999999991</c:v>
                </c:pt>
                <c:pt idx="25">
                  <c:v>6.1312499999999988</c:v>
                </c:pt>
                <c:pt idx="26">
                  <c:v>6.3430555555555541</c:v>
                </c:pt>
                <c:pt idx="27">
                  <c:v>6.5631944444444432</c:v>
                </c:pt>
                <c:pt idx="28">
                  <c:v>6.7770833333333318</c:v>
                </c:pt>
                <c:pt idx="29">
                  <c:v>7.029166666666665</c:v>
                </c:pt>
                <c:pt idx="30">
                  <c:v>7.2388888888888872</c:v>
                </c:pt>
                <c:pt idx="31">
                  <c:v>7.4527777777777757</c:v>
                </c:pt>
                <c:pt idx="32">
                  <c:v>7.7041666666666648</c:v>
                </c:pt>
                <c:pt idx="33">
                  <c:v>7.9416666666666647</c:v>
                </c:pt>
                <c:pt idx="34">
                  <c:v>8.1312499999999979</c:v>
                </c:pt>
                <c:pt idx="35">
                  <c:v>8.3486111111111097</c:v>
                </c:pt>
                <c:pt idx="36">
                  <c:v>8.6368055555555543</c:v>
                </c:pt>
                <c:pt idx="37">
                  <c:v>8.8868055555555543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A-4DC3-84D8-063AD9EE7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367449"/>
        <c:axId val="145826630"/>
      </c:lineChart>
      <c:catAx>
        <c:axId val="102936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auto val="1"/>
        <c:lblAlgn val="ctr"/>
        <c:lblOffset val="100"/>
        <c:noMultiLvlLbl val="1"/>
      </c:catAx>
      <c:valAx>
        <c:axId val="145826630"/>
        <c:scaling>
          <c:orientation val="minMax"/>
          <c:max val="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Captured Run 2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Co2 Captured Run 2 Cumulative</c:v>
          </c:tx>
          <c:spPr>
            <a:ln cmpd="sng">
              <a:solidFill>
                <a:schemeClr val="accent3">
                  <a:alpha val="96000"/>
                </a:schemeClr>
              </a:solidFill>
            </a:ln>
          </c:spPr>
          <c:marker>
            <c:symbol val="none"/>
          </c:marker>
          <c:val>
            <c:numRef>
              <c:f>'Run 2 Gen 1+2'!$N$5:$N$42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11.109911489083856</c:v>
                </c:pt>
                <c:pt idx="2">
                  <c:v>17.299847746051181</c:v>
                </c:pt>
                <c:pt idx="3">
                  <c:v>21.018929017067318</c:v>
                </c:pt>
                <c:pt idx="4">
                  <c:v>26.048457925923461</c:v>
                </c:pt>
                <c:pt idx="5">
                  <c:v>34.818452809141291</c:v>
                </c:pt>
                <c:pt idx="6">
                  <c:v>44.2884484361266</c:v>
                </c:pt>
                <c:pt idx="7">
                  <c:v>53.368442793229931</c:v>
                </c:pt>
                <c:pt idx="8">
                  <c:v>63.238438329719827</c:v>
                </c:pt>
                <c:pt idx="9">
                  <c:v>69.018436942043806</c:v>
                </c:pt>
                <c:pt idx="10">
                  <c:v>69.918435663844363</c:v>
                </c:pt>
                <c:pt idx="11">
                  <c:v>78.276434590289938</c:v>
                </c:pt>
                <c:pt idx="12">
                  <c:v>80.373015486457021</c:v>
                </c:pt>
                <c:pt idx="13">
                  <c:v>80.629639861253054</c:v>
                </c:pt>
                <c:pt idx="14">
                  <c:v>81.951180267919725</c:v>
                </c:pt>
                <c:pt idx="15">
                  <c:v>83.910430416000537</c:v>
                </c:pt>
                <c:pt idx="16">
                  <c:v>87.549329938481151</c:v>
                </c:pt>
                <c:pt idx="17">
                  <c:v>93.507633959314489</c:v>
                </c:pt>
                <c:pt idx="18">
                  <c:v>98.053550850223587</c:v>
                </c:pt>
                <c:pt idx="19">
                  <c:v>103.06147614384061</c:v>
                </c:pt>
                <c:pt idx="20">
                  <c:v>108.77236814384061</c:v>
                </c:pt>
                <c:pt idx="21">
                  <c:v>113.95025448770026</c:v>
                </c:pt>
                <c:pt idx="22">
                  <c:v>119.37330149147385</c:v>
                </c:pt>
                <c:pt idx="23">
                  <c:v>124.74345115704763</c:v>
                </c:pt>
                <c:pt idx="24">
                  <c:v>129.88839456445504</c:v>
                </c:pt>
                <c:pt idx="25">
                  <c:v>135.28862676445505</c:v>
                </c:pt>
                <c:pt idx="26">
                  <c:v>138.89573259937569</c:v>
                </c:pt>
                <c:pt idx="27">
                  <c:v>143.85284583466981</c:v>
                </c:pt>
                <c:pt idx="28">
                  <c:v>145.24284583466979</c:v>
                </c:pt>
                <c:pt idx="29">
                  <c:v>149.57825676256095</c:v>
                </c:pt>
                <c:pt idx="30">
                  <c:v>153.04574291766511</c:v>
                </c:pt>
                <c:pt idx="31">
                  <c:v>155.79359891766512</c:v>
                </c:pt>
                <c:pt idx="32">
                  <c:v>158.1097440349065</c:v>
                </c:pt>
                <c:pt idx="33">
                  <c:v>158.95146403490651</c:v>
                </c:pt>
                <c:pt idx="34">
                  <c:v>159.98062030157317</c:v>
                </c:pt>
                <c:pt idx="35">
                  <c:v>161.01802652379538</c:v>
                </c:pt>
                <c:pt idx="36">
                  <c:v>162.68019619397083</c:v>
                </c:pt>
                <c:pt idx="37">
                  <c:v>164.26488063841526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34-4D5C-975B-3E9F8989C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72841"/>
        <c:axId val="526947075"/>
      </c:lineChart>
      <c:catAx>
        <c:axId val="19987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auto val="1"/>
        <c:lblAlgn val="ctr"/>
        <c:lblOffset val="100"/>
        <c:noMultiLvlLbl val="1"/>
      </c:cat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between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Run 2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3104604452463369"/>
          <c:y val="1.948503827418232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mpd="sng">
              <a:solidFill>
                <a:srgbClr val="0070C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1.7004474689729786E-2"/>
                  <c:y val="-0.63526791927627002"/>
                </c:manualLayout>
              </c:layout>
              <c:numFmt formatCode="General" sourceLinked="0"/>
            </c:trendlineLbl>
          </c:trendline>
          <c:val>
            <c:numRef>
              <c:f>'Run 2 Gen 1+2'!$M$5:$M$42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7.0099140010570089</c:v>
                </c:pt>
                <c:pt idx="2">
                  <c:v>6.1899362569673242</c:v>
                </c:pt>
                <c:pt idx="3">
                  <c:v>3.7190812710161372</c:v>
                </c:pt>
                <c:pt idx="4">
                  <c:v>5.0295289088561441</c:v>
                </c:pt>
                <c:pt idx="5">
                  <c:v>8.7699948832178318</c:v>
                </c:pt>
                <c:pt idx="6">
                  <c:v>9.4699956269853107</c:v>
                </c:pt>
                <c:pt idx="7">
                  <c:v>9.0799943571033328</c:v>
                </c:pt>
                <c:pt idx="8">
                  <c:v>9.869995536489899</c:v>
                </c:pt>
                <c:pt idx="9">
                  <c:v>5.7799986123239728</c:v>
                </c:pt>
                <c:pt idx="10">
                  <c:v>0.89999872180055562</c:v>
                </c:pt>
                <c:pt idx="11">
                  <c:v>8.3579989264455783</c:v>
                </c:pt>
                <c:pt idx="12">
                  <c:v>2.0965808961670818</c:v>
                </c:pt>
                <c:pt idx="13">
                  <c:v>0.25662437479603645</c:v>
                </c:pt>
                <c:pt idx="14">
                  <c:v>1.3215404066666663</c:v>
                </c:pt>
                <c:pt idx="15">
                  <c:v>1.959250148080808</c:v>
                </c:pt>
                <c:pt idx="16">
                  <c:v>3.63889952248062</c:v>
                </c:pt>
                <c:pt idx="17">
                  <c:v>5.9583040208333333</c:v>
                </c:pt>
                <c:pt idx="18">
                  <c:v>4.5459168909090906</c:v>
                </c:pt>
                <c:pt idx="19">
                  <c:v>5.0079252936170207</c:v>
                </c:pt>
                <c:pt idx="20">
                  <c:v>5.7108919999999994</c:v>
                </c:pt>
                <c:pt idx="21">
                  <c:v>5.1778863438596492</c:v>
                </c:pt>
                <c:pt idx="22">
                  <c:v>5.4230470037735854</c:v>
                </c:pt>
                <c:pt idx="23">
                  <c:v>5.3701496655737708</c:v>
                </c:pt>
                <c:pt idx="24">
                  <c:v>5.1449434074074079</c:v>
                </c:pt>
                <c:pt idx="25">
                  <c:v>5.4002322000000005</c:v>
                </c:pt>
                <c:pt idx="26">
                  <c:v>3.6071058349206351</c:v>
                </c:pt>
                <c:pt idx="27">
                  <c:v>4.9571132352941172</c:v>
                </c:pt>
                <c:pt idx="28">
                  <c:v>1.39</c:v>
                </c:pt>
                <c:pt idx="29">
                  <c:v>4.3354109278911563</c:v>
                </c:pt>
                <c:pt idx="30">
                  <c:v>3.4674861551041669</c:v>
                </c:pt>
                <c:pt idx="31">
                  <c:v>2.7478559999999996</c:v>
                </c:pt>
                <c:pt idx="32">
                  <c:v>2.3161451172413794</c:v>
                </c:pt>
                <c:pt idx="33">
                  <c:v>0.84172000000000002</c:v>
                </c:pt>
                <c:pt idx="34">
                  <c:v>1.0291562666666667</c:v>
                </c:pt>
                <c:pt idx="35">
                  <c:v>1.0374062222222222</c:v>
                </c:pt>
                <c:pt idx="36">
                  <c:v>1.6621696701754385</c:v>
                </c:pt>
                <c:pt idx="37">
                  <c:v>1.5846844444444446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D2-4DCC-B0A8-B39E0A16D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2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lineChart>
        <c:grouping val="standard"/>
        <c:varyColors val="1"/>
        <c:ser>
          <c:idx val="0"/>
          <c:order val="0"/>
          <c:tx>
            <c:v>Co2 In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2 Gen 1+2'!$H$5:$H$42</c:f>
              <c:numCache>
                <c:formatCode>General</c:formatCode>
                <c:ptCount val="38"/>
                <c:pt idx="0">
                  <c:v>4.0999999999999996</c:v>
                </c:pt>
                <c:pt idx="1">
                  <c:v>7.01</c:v>
                </c:pt>
                <c:pt idx="2">
                  <c:v>6.19</c:v>
                </c:pt>
                <c:pt idx="3">
                  <c:v>3.72</c:v>
                </c:pt>
                <c:pt idx="4">
                  <c:v>5.03</c:v>
                </c:pt>
                <c:pt idx="5">
                  <c:v>8.77</c:v>
                </c:pt>
                <c:pt idx="6">
                  <c:v>9.4700000000000006</c:v>
                </c:pt>
                <c:pt idx="7">
                  <c:v>9.08</c:v>
                </c:pt>
                <c:pt idx="8">
                  <c:v>9.8699999999999992</c:v>
                </c:pt>
                <c:pt idx="9">
                  <c:v>5.78</c:v>
                </c:pt>
                <c:pt idx="10">
                  <c:v>0.9</c:v>
                </c:pt>
                <c:pt idx="11">
                  <c:v>8.41</c:v>
                </c:pt>
                <c:pt idx="12">
                  <c:v>2.12</c:v>
                </c:pt>
                <c:pt idx="13">
                  <c:v>0.28000000000000003</c:v>
                </c:pt>
                <c:pt idx="14">
                  <c:v>1.4</c:v>
                </c:pt>
                <c:pt idx="15">
                  <c:v>1.98</c:v>
                </c:pt>
                <c:pt idx="16">
                  <c:v>3.65</c:v>
                </c:pt>
                <c:pt idx="17">
                  <c:v>5.97</c:v>
                </c:pt>
                <c:pt idx="18">
                  <c:v>4.5599999999999996</c:v>
                </c:pt>
                <c:pt idx="19">
                  <c:v>5.0199999999999996</c:v>
                </c:pt>
                <c:pt idx="20">
                  <c:v>5.72</c:v>
                </c:pt>
                <c:pt idx="21">
                  <c:v>5.19</c:v>
                </c:pt>
                <c:pt idx="22">
                  <c:v>5.44</c:v>
                </c:pt>
                <c:pt idx="23">
                  <c:v>5.38</c:v>
                </c:pt>
                <c:pt idx="24">
                  <c:v>5.15</c:v>
                </c:pt>
                <c:pt idx="25">
                  <c:v>5.46</c:v>
                </c:pt>
                <c:pt idx="26">
                  <c:v>3.62</c:v>
                </c:pt>
                <c:pt idx="27">
                  <c:v>4.97</c:v>
                </c:pt>
                <c:pt idx="28">
                  <c:v>1.39</c:v>
                </c:pt>
                <c:pt idx="29">
                  <c:v>4.3499999999999996</c:v>
                </c:pt>
                <c:pt idx="30">
                  <c:v>3.47</c:v>
                </c:pt>
                <c:pt idx="31">
                  <c:v>2.76</c:v>
                </c:pt>
                <c:pt idx="32">
                  <c:v>2.33</c:v>
                </c:pt>
                <c:pt idx="33">
                  <c:v>0.85</c:v>
                </c:pt>
                <c:pt idx="34">
                  <c:v>1.04</c:v>
                </c:pt>
                <c:pt idx="35">
                  <c:v>1.05</c:v>
                </c:pt>
                <c:pt idx="36">
                  <c:v>1.67</c:v>
                </c:pt>
                <c:pt idx="37">
                  <c:v>1.59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F3-44C2-9513-46CAA6B701FA}"/>
            </c:ext>
          </c:extLst>
        </c:ser>
        <c:ser>
          <c:idx val="1"/>
          <c:order val="1"/>
          <c:tx>
            <c:v>Co2 Out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2 Gen 1+2'!$L$5:$L$42</c:f>
              <c:numCache>
                <c:formatCode>0.000</c:formatCode>
                <c:ptCount val="38"/>
                <c:pt idx="0">
                  <c:v>2.5119731529607406E-6</c:v>
                </c:pt>
                <c:pt idx="1">
                  <c:v>8.5998942990841282E-5</c:v>
                </c:pt>
                <c:pt idx="2">
                  <c:v>6.3743032676563715E-5</c:v>
                </c:pt>
                <c:pt idx="3">
                  <c:v>9.1872898386282005E-4</c:v>
                </c:pt>
                <c:pt idx="4">
                  <c:v>4.7109114385636208E-4</c:v>
                </c:pt>
                <c:pt idx="5">
                  <c:v>5.1167821679437218E-6</c:v>
                </c:pt>
                <c:pt idx="6">
                  <c:v>4.3730146892654624E-6</c:v>
                </c:pt>
                <c:pt idx="7">
                  <c:v>5.6428966666665719E-6</c:v>
                </c:pt>
                <c:pt idx="8">
                  <c:v>4.4635101010100228E-6</c:v>
                </c:pt>
                <c:pt idx="9">
                  <c:v>1.3876760276760139E-6</c:v>
                </c:pt>
                <c:pt idx="10">
                  <c:v>1.278199444444428E-6</c:v>
                </c:pt>
                <c:pt idx="11">
                  <c:v>5.2001073554421774E-2</c:v>
                </c:pt>
                <c:pt idx="12">
                  <c:v>2.3419103832918124E-2</c:v>
                </c:pt>
                <c:pt idx="13">
                  <c:v>2.3375625203963597E-2</c:v>
                </c:pt>
                <c:pt idx="14">
                  <c:v>7.8459593333333688E-2</c:v>
                </c:pt>
                <c:pt idx="15">
                  <c:v>2.0749851919192003E-2</c:v>
                </c:pt>
                <c:pt idx="16">
                  <c:v>1.1100477519379835E-2</c:v>
                </c:pt>
                <c:pt idx="17">
                  <c:v>1.1695979166666662E-2</c:v>
                </c:pt>
                <c:pt idx="18">
                  <c:v>1.4083109090909082E-2</c:v>
                </c:pt>
                <c:pt idx="19">
                  <c:v>1.2074706382978724E-2</c:v>
                </c:pt>
                <c:pt idx="20">
                  <c:v>9.1080000000000015E-3</c:v>
                </c:pt>
                <c:pt idx="21">
                  <c:v>1.2113656140350884E-2</c:v>
                </c:pt>
                <c:pt idx="22">
                  <c:v>1.6952996226415093E-2</c:v>
                </c:pt>
                <c:pt idx="23">
                  <c:v>9.8503344262295105E-3</c:v>
                </c:pt>
                <c:pt idx="24">
                  <c:v>5.0565925925925952E-3</c:v>
                </c:pt>
                <c:pt idx="25">
                  <c:v>5.9767799999999753E-2</c:v>
                </c:pt>
                <c:pt idx="26">
                  <c:v>1.2894165079365083E-2</c:v>
                </c:pt>
                <c:pt idx="27">
                  <c:v>1.288676470588236E-2</c:v>
                </c:pt>
                <c:pt idx="28">
                  <c:v>0</c:v>
                </c:pt>
                <c:pt idx="29">
                  <c:v>1.458907210884354E-2</c:v>
                </c:pt>
                <c:pt idx="30">
                  <c:v>2.5138448958333319E-3</c:v>
                </c:pt>
                <c:pt idx="31">
                  <c:v>1.2144000000000002E-2</c:v>
                </c:pt>
                <c:pt idx="32">
                  <c:v>1.3854882758620688E-2</c:v>
                </c:pt>
                <c:pt idx="33">
                  <c:v>8.2800000000000009E-3</c:v>
                </c:pt>
                <c:pt idx="34">
                  <c:v>1.0843733333333334E-2</c:v>
                </c:pt>
                <c:pt idx="35">
                  <c:v>1.2593777777777777E-2</c:v>
                </c:pt>
                <c:pt idx="36">
                  <c:v>7.8303298245614023E-3</c:v>
                </c:pt>
                <c:pt idx="37">
                  <c:v>5.315555555555556E-3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F3-44C2-9513-46CAA6B701FA}"/>
            </c:ext>
          </c:extLst>
        </c:ser>
        <c:ser>
          <c:idx val="2"/>
          <c:order val="2"/>
          <c:tx>
            <c:v>Co2 Captured</c:v>
          </c:tx>
          <c:spPr>
            <a:ln w="28575" cmpd="sng">
              <a:solidFill>
                <a:srgbClr val="FFFF00"/>
              </a:solidFill>
              <a:prstDash val="dash"/>
            </a:ln>
          </c:spPr>
          <c:marker>
            <c:symbol val="none"/>
          </c:marker>
          <c:val>
            <c:numRef>
              <c:f>'Run 2 Gen 1+2'!$M$5:$M$42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7.0099140010570089</c:v>
                </c:pt>
                <c:pt idx="2">
                  <c:v>6.1899362569673242</c:v>
                </c:pt>
                <c:pt idx="3">
                  <c:v>3.7190812710161372</c:v>
                </c:pt>
                <c:pt idx="4">
                  <c:v>5.0295289088561441</c:v>
                </c:pt>
                <c:pt idx="5">
                  <c:v>8.7699948832178318</c:v>
                </c:pt>
                <c:pt idx="6">
                  <c:v>9.4699956269853107</c:v>
                </c:pt>
                <c:pt idx="7">
                  <c:v>9.0799943571033328</c:v>
                </c:pt>
                <c:pt idx="8">
                  <c:v>9.869995536489899</c:v>
                </c:pt>
                <c:pt idx="9">
                  <c:v>5.7799986123239728</c:v>
                </c:pt>
                <c:pt idx="10">
                  <c:v>0.89999872180055562</c:v>
                </c:pt>
                <c:pt idx="11">
                  <c:v>8.3579989264455783</c:v>
                </c:pt>
                <c:pt idx="12">
                  <c:v>2.0965808961670818</c:v>
                </c:pt>
                <c:pt idx="13">
                  <c:v>0.25662437479603645</c:v>
                </c:pt>
                <c:pt idx="14">
                  <c:v>1.3215404066666663</c:v>
                </c:pt>
                <c:pt idx="15">
                  <c:v>1.959250148080808</c:v>
                </c:pt>
                <c:pt idx="16">
                  <c:v>3.63889952248062</c:v>
                </c:pt>
                <c:pt idx="17">
                  <c:v>5.9583040208333333</c:v>
                </c:pt>
                <c:pt idx="18">
                  <c:v>4.5459168909090906</c:v>
                </c:pt>
                <c:pt idx="19">
                  <c:v>5.0079252936170207</c:v>
                </c:pt>
                <c:pt idx="20">
                  <c:v>5.7108919999999994</c:v>
                </c:pt>
                <c:pt idx="21">
                  <c:v>5.1778863438596492</c:v>
                </c:pt>
                <c:pt idx="22">
                  <c:v>5.4230470037735854</c:v>
                </c:pt>
                <c:pt idx="23">
                  <c:v>5.3701496655737708</c:v>
                </c:pt>
                <c:pt idx="24">
                  <c:v>5.1449434074074079</c:v>
                </c:pt>
                <c:pt idx="25">
                  <c:v>5.4002322000000005</c:v>
                </c:pt>
                <c:pt idx="26">
                  <c:v>3.6071058349206351</c:v>
                </c:pt>
                <c:pt idx="27">
                  <c:v>4.9571132352941172</c:v>
                </c:pt>
                <c:pt idx="28">
                  <c:v>1.39</c:v>
                </c:pt>
                <c:pt idx="29">
                  <c:v>4.3354109278911563</c:v>
                </c:pt>
                <c:pt idx="30">
                  <c:v>3.4674861551041669</c:v>
                </c:pt>
                <c:pt idx="31">
                  <c:v>2.7478559999999996</c:v>
                </c:pt>
                <c:pt idx="32">
                  <c:v>2.3161451172413794</c:v>
                </c:pt>
                <c:pt idx="33">
                  <c:v>0.84172000000000002</c:v>
                </c:pt>
                <c:pt idx="34">
                  <c:v>1.0291562666666667</c:v>
                </c:pt>
                <c:pt idx="35">
                  <c:v>1.0374062222222222</c:v>
                </c:pt>
                <c:pt idx="36">
                  <c:v>1.6621696701754385</c:v>
                </c:pt>
                <c:pt idx="37">
                  <c:v>1.5846844444444446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F3-44C2-9513-46CAA6B70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42323"/>
        <c:axId val="86163043"/>
      </c:lineChart>
      <c:catAx>
        <c:axId val="116174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auto val="1"/>
        <c:lblAlgn val="ctr"/>
        <c:lblOffset val="100"/>
        <c:noMultiLvlLbl val="1"/>
      </c:catAx>
      <c:valAx>
        <c:axId val="86163043"/>
        <c:scaling>
          <c:orientation val="minMax"/>
          <c:max val="1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2</a:t>
            </a: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</c:v>
          </c:tx>
          <c:spPr>
            <a:ln w="25400">
              <a:noFill/>
            </a:ln>
          </c:spPr>
          <c:xVal>
            <c:numRef>
              <c:f>'Run 2 Gen 1+2'!$B$5:$B$42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'Run 2 Gen 1+2'!$O$5:$O$42</c:f>
              <c:numCache>
                <c:formatCode>General</c:formatCode>
                <c:ptCount val="3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99.98</c:v>
                </c:pt>
                <c:pt idx="4">
                  <c:v>99.99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99.38</c:v>
                </c:pt>
                <c:pt idx="12">
                  <c:v>98.9</c:v>
                </c:pt>
                <c:pt idx="13">
                  <c:v>91.65</c:v>
                </c:pt>
                <c:pt idx="14">
                  <c:v>94.4</c:v>
                </c:pt>
                <c:pt idx="15">
                  <c:v>98.95</c:v>
                </c:pt>
                <c:pt idx="16">
                  <c:v>99.7</c:v>
                </c:pt>
                <c:pt idx="17">
                  <c:v>99.8</c:v>
                </c:pt>
                <c:pt idx="18">
                  <c:v>99.69</c:v>
                </c:pt>
                <c:pt idx="19">
                  <c:v>99.76</c:v>
                </c:pt>
                <c:pt idx="20">
                  <c:v>99.84</c:v>
                </c:pt>
                <c:pt idx="21">
                  <c:v>99.77</c:v>
                </c:pt>
                <c:pt idx="22">
                  <c:v>99.69</c:v>
                </c:pt>
                <c:pt idx="23">
                  <c:v>99.82</c:v>
                </c:pt>
                <c:pt idx="24">
                  <c:v>99.9</c:v>
                </c:pt>
                <c:pt idx="25">
                  <c:v>98.91</c:v>
                </c:pt>
                <c:pt idx="26">
                  <c:v>99.64</c:v>
                </c:pt>
                <c:pt idx="27">
                  <c:v>99.74</c:v>
                </c:pt>
                <c:pt idx="28">
                  <c:v>100</c:v>
                </c:pt>
                <c:pt idx="29">
                  <c:v>99.66</c:v>
                </c:pt>
                <c:pt idx="30">
                  <c:v>99.93</c:v>
                </c:pt>
                <c:pt idx="31">
                  <c:v>99.56</c:v>
                </c:pt>
                <c:pt idx="32">
                  <c:v>99.41</c:v>
                </c:pt>
                <c:pt idx="33">
                  <c:v>99.03</c:v>
                </c:pt>
                <c:pt idx="34">
                  <c:v>98.96</c:v>
                </c:pt>
                <c:pt idx="35">
                  <c:v>98.8</c:v>
                </c:pt>
                <c:pt idx="36">
                  <c:v>99.53</c:v>
                </c:pt>
                <c:pt idx="37">
                  <c:v>99.67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D-4B1D-AA4A-9C8BF0015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Run 2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2 Gen 1+2'!$T$5:$T$42</c:f>
              <c:numCache>
                <c:formatCode>General</c:formatCode>
                <c:ptCount val="38"/>
                <c:pt idx="0">
                  <c:v>0.23</c:v>
                </c:pt>
                <c:pt idx="1">
                  <c:v>0.37</c:v>
                </c:pt>
                <c:pt idx="2">
                  <c:v>0.55000000000000004</c:v>
                </c:pt>
                <c:pt idx="3">
                  <c:v>0.73</c:v>
                </c:pt>
                <c:pt idx="4">
                  <c:v>0.85</c:v>
                </c:pt>
                <c:pt idx="5">
                  <c:v>1.07</c:v>
                </c:pt>
                <c:pt idx="6">
                  <c:v>1.4300000000000002</c:v>
                </c:pt>
                <c:pt idx="7">
                  <c:v>1.9400000000000002</c:v>
                </c:pt>
                <c:pt idx="8">
                  <c:v>1.9400000000000002</c:v>
                </c:pt>
                <c:pt idx="9">
                  <c:v>2.31</c:v>
                </c:pt>
                <c:pt idx="10">
                  <c:v>2.73</c:v>
                </c:pt>
                <c:pt idx="11">
                  <c:v>3.02</c:v>
                </c:pt>
                <c:pt idx="12">
                  <c:v>3.1</c:v>
                </c:pt>
                <c:pt idx="13">
                  <c:v>3.24</c:v>
                </c:pt>
                <c:pt idx="14">
                  <c:v>4.2300000000000004</c:v>
                </c:pt>
                <c:pt idx="15">
                  <c:v>5.24</c:v>
                </c:pt>
                <c:pt idx="16">
                  <c:v>5.92</c:v>
                </c:pt>
                <c:pt idx="17">
                  <c:v>6.64</c:v>
                </c:pt>
                <c:pt idx="18">
                  <c:v>7.3699999999999992</c:v>
                </c:pt>
                <c:pt idx="19">
                  <c:v>7.9699999999999989</c:v>
                </c:pt>
                <c:pt idx="20">
                  <c:v>8.7499999999999982</c:v>
                </c:pt>
                <c:pt idx="21">
                  <c:v>9.5199999999999978</c:v>
                </c:pt>
                <c:pt idx="22">
                  <c:v>10.219999999999997</c:v>
                </c:pt>
                <c:pt idx="23">
                  <c:v>11.029999999999998</c:v>
                </c:pt>
                <c:pt idx="24">
                  <c:v>11.999999999999998</c:v>
                </c:pt>
                <c:pt idx="25">
                  <c:v>12.779999999999998</c:v>
                </c:pt>
                <c:pt idx="26">
                  <c:v>13.439999999999998</c:v>
                </c:pt>
                <c:pt idx="27">
                  <c:v>14.309999999999997</c:v>
                </c:pt>
                <c:pt idx="28">
                  <c:v>14.889999999999997</c:v>
                </c:pt>
                <c:pt idx="29">
                  <c:v>15.519999999999998</c:v>
                </c:pt>
                <c:pt idx="30">
                  <c:v>15.829999999999998</c:v>
                </c:pt>
                <c:pt idx="31">
                  <c:v>16.27</c:v>
                </c:pt>
                <c:pt idx="32">
                  <c:v>16.97</c:v>
                </c:pt>
                <c:pt idx="33">
                  <c:v>17.799999999999997</c:v>
                </c:pt>
                <c:pt idx="34">
                  <c:v>18.259999999999998</c:v>
                </c:pt>
                <c:pt idx="35">
                  <c:v>19.009999999999998</c:v>
                </c:pt>
                <c:pt idx="36">
                  <c:v>19.45</c:v>
                </c:pt>
                <c:pt idx="37">
                  <c:v>20.349999999999998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E-462A-829B-FDD215596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3158"/>
        <c:axId val="1398771263"/>
      </c:lineChart>
      <c:catAx>
        <c:axId val="12016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98771263"/>
        <c:crosses val="autoZero"/>
        <c:auto val="1"/>
        <c:lblAlgn val="ctr"/>
        <c:lblOffset val="100"/>
        <c:noMultiLvlLbl val="1"/>
      </c:catAx>
      <c:valAx>
        <c:axId val="1398771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CO2 Captured,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0163158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</a:t>
            </a:r>
            <a:r>
              <a:rPr lang="en-GB" sz="1400" b="1" i="0" baseline="-25000">
                <a:solidFill>
                  <a:sysClr val="windowText" lastClr="000000"/>
                </a:solidFill>
                <a:latin typeface="+mn-lt"/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CO2 Capture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'Run 2 Gen 1+2'!$M$5:$M$42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7.0099140010570089</c:v>
                </c:pt>
                <c:pt idx="2">
                  <c:v>6.1899362569673242</c:v>
                </c:pt>
                <c:pt idx="3">
                  <c:v>3.7190812710161372</c:v>
                </c:pt>
                <c:pt idx="4">
                  <c:v>5.0295289088561441</c:v>
                </c:pt>
                <c:pt idx="5">
                  <c:v>8.7699948832178318</c:v>
                </c:pt>
                <c:pt idx="6">
                  <c:v>9.4699956269853107</c:v>
                </c:pt>
                <c:pt idx="7">
                  <c:v>9.0799943571033328</c:v>
                </c:pt>
                <c:pt idx="8">
                  <c:v>9.869995536489899</c:v>
                </c:pt>
                <c:pt idx="9">
                  <c:v>5.7799986123239728</c:v>
                </c:pt>
                <c:pt idx="10">
                  <c:v>0.89999872180055562</c:v>
                </c:pt>
                <c:pt idx="11">
                  <c:v>8.3579989264455783</c:v>
                </c:pt>
                <c:pt idx="12">
                  <c:v>2.0965808961670818</c:v>
                </c:pt>
                <c:pt idx="13">
                  <c:v>0.25662437479603645</c:v>
                </c:pt>
                <c:pt idx="14">
                  <c:v>1.3215404066666663</c:v>
                </c:pt>
                <c:pt idx="15">
                  <c:v>1.959250148080808</c:v>
                </c:pt>
                <c:pt idx="16">
                  <c:v>3.63889952248062</c:v>
                </c:pt>
                <c:pt idx="17">
                  <c:v>5.9583040208333333</c:v>
                </c:pt>
                <c:pt idx="18">
                  <c:v>4.5459168909090906</c:v>
                </c:pt>
                <c:pt idx="19">
                  <c:v>5.0079252936170207</c:v>
                </c:pt>
                <c:pt idx="20">
                  <c:v>5.7108919999999994</c:v>
                </c:pt>
                <c:pt idx="21">
                  <c:v>5.1778863438596492</c:v>
                </c:pt>
                <c:pt idx="22">
                  <c:v>5.4230470037735854</c:v>
                </c:pt>
                <c:pt idx="23">
                  <c:v>5.3701496655737708</c:v>
                </c:pt>
                <c:pt idx="24">
                  <c:v>5.1449434074074079</c:v>
                </c:pt>
                <c:pt idx="25">
                  <c:v>5.4002322000000005</c:v>
                </c:pt>
                <c:pt idx="26">
                  <c:v>3.6071058349206351</c:v>
                </c:pt>
                <c:pt idx="27">
                  <c:v>4.9571132352941172</c:v>
                </c:pt>
                <c:pt idx="28">
                  <c:v>1.39</c:v>
                </c:pt>
                <c:pt idx="29">
                  <c:v>4.3354109278911563</c:v>
                </c:pt>
                <c:pt idx="30">
                  <c:v>3.4674861551041669</c:v>
                </c:pt>
                <c:pt idx="31">
                  <c:v>2.7478559999999996</c:v>
                </c:pt>
                <c:pt idx="32">
                  <c:v>2.3161451172413794</c:v>
                </c:pt>
                <c:pt idx="33">
                  <c:v>0.84172000000000002</c:v>
                </c:pt>
                <c:pt idx="34">
                  <c:v>1.0291562666666667</c:v>
                </c:pt>
                <c:pt idx="35">
                  <c:v>1.0374062222222222</c:v>
                </c:pt>
                <c:pt idx="36">
                  <c:v>1.6621696701754385</c:v>
                </c:pt>
                <c:pt idx="37">
                  <c:v>1.5846844444444446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B-45E3-9737-FDF1D34D7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Co2 Recovery</c:v>
                </c:tx>
                <c:spPr>
                  <a:ln w="28575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'Run 1 Gen 1 '!$AD$7:$AD$36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0.20161057866666754</c:v>
                      </c:pt>
                      <c:pt idx="1">
                        <c:v>0.40322115733333508</c:v>
                      </c:pt>
                      <c:pt idx="2">
                        <c:v>0.88652475733333347</c:v>
                      </c:pt>
                      <c:pt idx="3">
                        <c:v>1.3465247573333334</c:v>
                      </c:pt>
                      <c:pt idx="4">
                        <c:v>1.3465247573333334</c:v>
                      </c:pt>
                      <c:pt idx="5">
                        <c:v>2.7065247573333338</c:v>
                      </c:pt>
                      <c:pt idx="6">
                        <c:v>4.0565247573333334</c:v>
                      </c:pt>
                      <c:pt idx="7">
                        <c:v>5.3965247573333333</c:v>
                      </c:pt>
                      <c:pt idx="8">
                        <c:v>6.0665247573333332</c:v>
                      </c:pt>
                      <c:pt idx="9">
                        <c:v>6.4265247573333335</c:v>
                      </c:pt>
                      <c:pt idx="10">
                        <c:v>7.0465247573333336</c:v>
                      </c:pt>
                      <c:pt idx="11">
                        <c:v>7.7665247573333334</c:v>
                      </c:pt>
                      <c:pt idx="12">
                        <c:v>8.4265247573333326</c:v>
                      </c:pt>
                      <c:pt idx="13">
                        <c:v>9.0665247573333332</c:v>
                      </c:pt>
                      <c:pt idx="14">
                        <c:v>9.7365247573333331</c:v>
                      </c:pt>
                      <c:pt idx="15">
                        <c:v>10.196524757333334</c:v>
                      </c:pt>
                      <c:pt idx="16">
                        <c:v>10.566524757333333</c:v>
                      </c:pt>
                      <c:pt idx="17">
                        <c:v>11.156524757333333</c:v>
                      </c:pt>
                      <c:pt idx="18">
                        <c:v>11.786524757333334</c:v>
                      </c:pt>
                      <c:pt idx="19">
                        <c:v>12.226524757333333</c:v>
                      </c:pt>
                      <c:pt idx="20">
                        <c:v>12.676524757333333</c:v>
                      </c:pt>
                      <c:pt idx="21">
                        <c:v>13.216524757333332</c:v>
                      </c:pt>
                      <c:pt idx="22">
                        <c:v>13.776524757333332</c:v>
                      </c:pt>
                      <c:pt idx="23">
                        <c:v>14.026524757333332</c:v>
                      </c:pt>
                      <c:pt idx="24">
                        <c:v>14.246524757333333</c:v>
                      </c:pt>
                      <c:pt idx="25">
                        <c:v>14.476524757333333</c:v>
                      </c:pt>
                      <c:pt idx="26">
                        <c:v>14.676524757333333</c:v>
                      </c:pt>
                      <c:pt idx="27">
                        <c:v>14.946524757333332</c:v>
                      </c:pt>
                      <c:pt idx="28">
                        <c:v>15.146524757333331</c:v>
                      </c:pt>
                      <c:pt idx="29">
                        <c:v>15.346524757333331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85B-45E3-9737-FDF1D34D72BD}"/>
                  </c:ext>
                </c:extLst>
              </c15:ser>
            </c15:filteredLineSeries>
          </c:ext>
        </c:extLst>
      </c:lineChart>
      <c:lineChart>
        <c:grouping val="standard"/>
        <c:varyColors val="1"/>
        <c:ser>
          <c:idx val="2"/>
          <c:order val="2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'Run 2 Gen 1+2'!$U$5:$U$42</c:f>
              <c:numCache>
                <c:formatCode>General</c:formatCode>
                <c:ptCount val="38"/>
                <c:pt idx="0">
                  <c:v>5.61</c:v>
                </c:pt>
                <c:pt idx="1">
                  <c:v>2</c:v>
                </c:pt>
                <c:pt idx="2">
                  <c:v>2.91</c:v>
                </c:pt>
                <c:pt idx="3">
                  <c:v>4.84</c:v>
                </c:pt>
                <c:pt idx="4">
                  <c:v>2.39</c:v>
                </c:pt>
                <c:pt idx="5">
                  <c:v>2.5099999999999998</c:v>
                </c:pt>
                <c:pt idx="6">
                  <c:v>3.8</c:v>
                </c:pt>
                <c:pt idx="7">
                  <c:v>5.62</c:v>
                </c:pt>
                <c:pt idx="8">
                  <c:v>0</c:v>
                </c:pt>
                <c:pt idx="9">
                  <c:v>6.4</c:v>
                </c:pt>
                <c:pt idx="10">
                  <c:v>46.67</c:v>
                </c:pt>
                <c:pt idx="11">
                  <c:v>3.47</c:v>
                </c:pt>
                <c:pt idx="12">
                  <c:v>3.82</c:v>
                </c:pt>
                <c:pt idx="13">
                  <c:v>54.55</c:v>
                </c:pt>
                <c:pt idx="14">
                  <c:v>74.91</c:v>
                </c:pt>
                <c:pt idx="15">
                  <c:v>51.55</c:v>
                </c:pt>
                <c:pt idx="16">
                  <c:v>18.690000000000001</c:v>
                </c:pt>
                <c:pt idx="17">
                  <c:v>12.08</c:v>
                </c:pt>
                <c:pt idx="18">
                  <c:v>16.059999999999999</c:v>
                </c:pt>
                <c:pt idx="19">
                  <c:v>11.98</c:v>
                </c:pt>
                <c:pt idx="20">
                  <c:v>13.66</c:v>
                </c:pt>
                <c:pt idx="21">
                  <c:v>14.87</c:v>
                </c:pt>
                <c:pt idx="22">
                  <c:v>12.91</c:v>
                </c:pt>
                <c:pt idx="23">
                  <c:v>15.08</c:v>
                </c:pt>
                <c:pt idx="24">
                  <c:v>18.850000000000001</c:v>
                </c:pt>
                <c:pt idx="25">
                  <c:v>14.44</c:v>
                </c:pt>
                <c:pt idx="26">
                  <c:v>18.3</c:v>
                </c:pt>
                <c:pt idx="27">
                  <c:v>17.55</c:v>
                </c:pt>
                <c:pt idx="28">
                  <c:v>41.73</c:v>
                </c:pt>
                <c:pt idx="29">
                  <c:v>14.53</c:v>
                </c:pt>
                <c:pt idx="30">
                  <c:v>8.94</c:v>
                </c:pt>
                <c:pt idx="31">
                  <c:v>16.010000000000002</c:v>
                </c:pt>
                <c:pt idx="32">
                  <c:v>30.22</c:v>
                </c:pt>
                <c:pt idx="33">
                  <c:v>98.61</c:v>
                </c:pt>
                <c:pt idx="34">
                  <c:v>44.7</c:v>
                </c:pt>
                <c:pt idx="35">
                  <c:v>72.3</c:v>
                </c:pt>
                <c:pt idx="36">
                  <c:v>26.47</c:v>
                </c:pt>
                <c:pt idx="37">
                  <c:v>56.79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B-45E3-9737-FDF1D34D7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7744"/>
        <c:axId val="1615844480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</a:t>
                </a:r>
                <a:r>
                  <a:rPr lang="en-GB" baseline="0"/>
                  <a:t> Recovered,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6158444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Recovery of CO2,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77744"/>
        <c:crosses val="max"/>
        <c:crossBetween val="between"/>
      </c:valAx>
      <c:catAx>
        <c:axId val="3437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8444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2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2 Gen 1+2'!$U$5:$U$42</c:f>
              <c:numCache>
                <c:formatCode>General</c:formatCode>
                <c:ptCount val="38"/>
                <c:pt idx="0">
                  <c:v>5.61</c:v>
                </c:pt>
                <c:pt idx="1">
                  <c:v>2</c:v>
                </c:pt>
                <c:pt idx="2">
                  <c:v>2.91</c:v>
                </c:pt>
                <c:pt idx="3">
                  <c:v>4.84</c:v>
                </c:pt>
                <c:pt idx="4">
                  <c:v>2.39</c:v>
                </c:pt>
                <c:pt idx="5">
                  <c:v>2.5099999999999998</c:v>
                </c:pt>
                <c:pt idx="6">
                  <c:v>3.8</c:v>
                </c:pt>
                <c:pt idx="7">
                  <c:v>5.62</c:v>
                </c:pt>
                <c:pt idx="8">
                  <c:v>0</c:v>
                </c:pt>
                <c:pt idx="9">
                  <c:v>6.4</c:v>
                </c:pt>
                <c:pt idx="10">
                  <c:v>46.67</c:v>
                </c:pt>
                <c:pt idx="11">
                  <c:v>3.47</c:v>
                </c:pt>
                <c:pt idx="12">
                  <c:v>3.82</c:v>
                </c:pt>
                <c:pt idx="13">
                  <c:v>54.55</c:v>
                </c:pt>
                <c:pt idx="14">
                  <c:v>74.91</c:v>
                </c:pt>
                <c:pt idx="15">
                  <c:v>51.55</c:v>
                </c:pt>
                <c:pt idx="16">
                  <c:v>18.690000000000001</c:v>
                </c:pt>
                <c:pt idx="17">
                  <c:v>12.08</c:v>
                </c:pt>
                <c:pt idx="18">
                  <c:v>16.059999999999999</c:v>
                </c:pt>
                <c:pt idx="19">
                  <c:v>11.98</c:v>
                </c:pt>
                <c:pt idx="20">
                  <c:v>13.66</c:v>
                </c:pt>
                <c:pt idx="21">
                  <c:v>14.87</c:v>
                </c:pt>
                <c:pt idx="22">
                  <c:v>12.91</c:v>
                </c:pt>
                <c:pt idx="23">
                  <c:v>15.08</c:v>
                </c:pt>
                <c:pt idx="24">
                  <c:v>18.850000000000001</c:v>
                </c:pt>
                <c:pt idx="25">
                  <c:v>14.44</c:v>
                </c:pt>
                <c:pt idx="26">
                  <c:v>18.3</c:v>
                </c:pt>
                <c:pt idx="27">
                  <c:v>17.55</c:v>
                </c:pt>
                <c:pt idx="28">
                  <c:v>41.73</c:v>
                </c:pt>
                <c:pt idx="29">
                  <c:v>14.53</c:v>
                </c:pt>
                <c:pt idx="30">
                  <c:v>8.94</c:v>
                </c:pt>
                <c:pt idx="31">
                  <c:v>16.010000000000002</c:v>
                </c:pt>
                <c:pt idx="32">
                  <c:v>30.22</c:v>
                </c:pt>
                <c:pt idx="33">
                  <c:v>98.61</c:v>
                </c:pt>
                <c:pt idx="34">
                  <c:v>44.7</c:v>
                </c:pt>
                <c:pt idx="35">
                  <c:v>72.3</c:v>
                </c:pt>
                <c:pt idx="36">
                  <c:v>26.47</c:v>
                </c:pt>
                <c:pt idx="37">
                  <c:v>56.79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3-4D28-AF02-3A85BD09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210351"/>
        <c:axId val="1138649703"/>
      </c:lineChart>
      <c:catAx>
        <c:axId val="21821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auto val="1"/>
        <c:lblAlgn val="ctr"/>
        <c:lblOffset val="100"/>
        <c:noMultiLvlLbl val="1"/>
      </c:catAx>
      <c:valAx>
        <c:axId val="1138649703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Daily Recovery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'Run 2 Gen 1+2'!$S$5:$S$42</c:f>
              <c:numCache>
                <c:formatCode>General</c:formatCode>
                <c:ptCount val="38"/>
                <c:pt idx="0">
                  <c:v>0.23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0.18</c:v>
                </c:pt>
                <c:pt idx="4">
                  <c:v>0.12</c:v>
                </c:pt>
                <c:pt idx="5">
                  <c:v>0.22</c:v>
                </c:pt>
                <c:pt idx="6">
                  <c:v>0.36</c:v>
                </c:pt>
                <c:pt idx="7">
                  <c:v>0.51</c:v>
                </c:pt>
                <c:pt idx="8">
                  <c:v>0</c:v>
                </c:pt>
                <c:pt idx="9">
                  <c:v>0.37</c:v>
                </c:pt>
                <c:pt idx="10">
                  <c:v>0.42</c:v>
                </c:pt>
                <c:pt idx="11">
                  <c:v>0.28999999999999998</c:v>
                </c:pt>
                <c:pt idx="12">
                  <c:v>0.08</c:v>
                </c:pt>
                <c:pt idx="13">
                  <c:v>0.14000000000000001</c:v>
                </c:pt>
                <c:pt idx="14">
                  <c:v>0.99</c:v>
                </c:pt>
                <c:pt idx="15">
                  <c:v>1.01</c:v>
                </c:pt>
                <c:pt idx="16">
                  <c:v>0.68</c:v>
                </c:pt>
                <c:pt idx="17">
                  <c:v>0.72</c:v>
                </c:pt>
                <c:pt idx="18">
                  <c:v>0.73</c:v>
                </c:pt>
                <c:pt idx="19">
                  <c:v>0.6</c:v>
                </c:pt>
                <c:pt idx="20">
                  <c:v>0.78</c:v>
                </c:pt>
                <c:pt idx="21">
                  <c:v>0.77</c:v>
                </c:pt>
                <c:pt idx="22">
                  <c:v>0.7</c:v>
                </c:pt>
                <c:pt idx="23">
                  <c:v>0.81</c:v>
                </c:pt>
                <c:pt idx="24">
                  <c:v>0.97</c:v>
                </c:pt>
                <c:pt idx="25">
                  <c:v>0.78</c:v>
                </c:pt>
                <c:pt idx="26">
                  <c:v>0.66</c:v>
                </c:pt>
                <c:pt idx="27">
                  <c:v>0.87</c:v>
                </c:pt>
                <c:pt idx="28">
                  <c:v>0.57999999999999996</c:v>
                </c:pt>
                <c:pt idx="29">
                  <c:v>0.63</c:v>
                </c:pt>
                <c:pt idx="30">
                  <c:v>0.31</c:v>
                </c:pt>
                <c:pt idx="31">
                  <c:v>0.44</c:v>
                </c:pt>
                <c:pt idx="32">
                  <c:v>0.7</c:v>
                </c:pt>
                <c:pt idx="33">
                  <c:v>0.83</c:v>
                </c:pt>
                <c:pt idx="34">
                  <c:v>0.46</c:v>
                </c:pt>
                <c:pt idx="35">
                  <c:v>0.75</c:v>
                </c:pt>
                <c:pt idx="36">
                  <c:v>0.44</c:v>
                </c:pt>
                <c:pt idx="3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0-4A75-B89D-D776E5937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217"/>
        <c:axId val="526601337"/>
      </c:lineChart>
      <c:catAx>
        <c:axId val="633555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auto val="1"/>
        <c:lblAlgn val="ctr"/>
        <c:lblOffset val="100"/>
        <c:noMultiLvlLbl val="1"/>
      </c:catAx>
      <c:valAx>
        <c:axId val="526601337"/>
        <c:scaling>
          <c:orientation val="minMax"/>
          <c:max val="1.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between"/>
        <c:majorUnit val="0.5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 per Cycle
Run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2.3391916010498687E-2"/>
                  <c:y val="-0.33906189145711624"/>
                </c:manualLayout>
              </c:layout>
              <c:numFmt formatCode="General" sourceLinked="0"/>
            </c:trendlineLbl>
          </c:trendline>
          <c:val>
            <c:numRef>
              <c:f>'Run 2 Gen 1+2'!$C$5:$C$42</c:f>
              <c:numCache>
                <c:formatCode>h:mm</c:formatCode>
                <c:ptCount val="38"/>
                <c:pt idx="0">
                  <c:v>0.2277777777777778</c:v>
                </c:pt>
                <c:pt idx="1">
                  <c:v>0.22499999999999998</c:v>
                </c:pt>
                <c:pt idx="2">
                  <c:v>0.31250000000000006</c:v>
                </c:pt>
                <c:pt idx="3">
                  <c:v>0.21666666666666667</c:v>
                </c:pt>
                <c:pt idx="4">
                  <c:v>0.22013888888888888</c:v>
                </c:pt>
                <c:pt idx="5">
                  <c:v>0.26944444444444443</c:v>
                </c:pt>
                <c:pt idx="6">
                  <c:v>0.28819444444444442</c:v>
                </c:pt>
                <c:pt idx="7">
                  <c:v>0.27013888888888887</c:v>
                </c:pt>
                <c:pt idx="8">
                  <c:v>0.2638888888888889</c:v>
                </c:pt>
                <c:pt idx="9">
                  <c:v>0.23472222222222222</c:v>
                </c:pt>
                <c:pt idx="10">
                  <c:v>0.25277777777777777</c:v>
                </c:pt>
                <c:pt idx="11">
                  <c:v>0.25555555555555554</c:v>
                </c:pt>
                <c:pt idx="12">
                  <c:v>0.23124999999999996</c:v>
                </c:pt>
                <c:pt idx="13">
                  <c:v>0.20763888888888887</c:v>
                </c:pt>
                <c:pt idx="14">
                  <c:v>0.21736111111111106</c:v>
                </c:pt>
                <c:pt idx="15">
                  <c:v>0.20555555555555555</c:v>
                </c:pt>
                <c:pt idx="16">
                  <c:v>0.21111111111111114</c:v>
                </c:pt>
                <c:pt idx="17">
                  <c:v>0.22500000000000003</c:v>
                </c:pt>
                <c:pt idx="18">
                  <c:v>0.21180555555555558</c:v>
                </c:pt>
                <c:pt idx="19">
                  <c:v>0.21249999999999997</c:v>
                </c:pt>
                <c:pt idx="20">
                  <c:v>0.21180555555555552</c:v>
                </c:pt>
                <c:pt idx="21">
                  <c:v>0.21527777777777773</c:v>
                </c:pt>
                <c:pt idx="22">
                  <c:v>0.21666666666666662</c:v>
                </c:pt>
                <c:pt idx="23">
                  <c:v>0.22222222222222227</c:v>
                </c:pt>
                <c:pt idx="24">
                  <c:v>0.21875</c:v>
                </c:pt>
                <c:pt idx="25">
                  <c:v>0.28750000000000003</c:v>
                </c:pt>
                <c:pt idx="26">
                  <c:v>0.21180555555555552</c:v>
                </c:pt>
                <c:pt idx="27">
                  <c:v>0.22013888888888894</c:v>
                </c:pt>
                <c:pt idx="28">
                  <c:v>0.21388888888888885</c:v>
                </c:pt>
                <c:pt idx="29">
                  <c:v>0.25208333333333338</c:v>
                </c:pt>
                <c:pt idx="30">
                  <c:v>0.2097222222222222</c:v>
                </c:pt>
                <c:pt idx="31">
                  <c:v>0.21388888888888891</c:v>
                </c:pt>
                <c:pt idx="32">
                  <c:v>0.25138888888888883</c:v>
                </c:pt>
                <c:pt idx="33">
                  <c:v>0.23750000000000004</c:v>
                </c:pt>
                <c:pt idx="34">
                  <c:v>0.18958333333333338</c:v>
                </c:pt>
                <c:pt idx="35">
                  <c:v>0.21736111111111106</c:v>
                </c:pt>
                <c:pt idx="36">
                  <c:v>0.28819444444444442</c:v>
                </c:pt>
                <c:pt idx="3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0A-4AF3-AEBF-A5F2F5247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667578"/>
        <c:axId val="1045260324"/>
      </c:lineChart>
      <c:catAx>
        <c:axId val="156866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45260324"/>
        <c:crosses val="autoZero"/>
        <c:auto val="1"/>
        <c:lblAlgn val="ctr"/>
        <c:lblOffset val="100"/>
        <c:noMultiLvlLbl val="1"/>
      </c:catAx>
      <c:valAx>
        <c:axId val="1045260324"/>
        <c:scaling>
          <c:orientation val="minMax"/>
          <c:max val="0.3500000000000000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 of Operation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866757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CO₂ Concentration During Adsorption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Flue Gas Inlet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2 Gen 1+2'!$F$5:$F$42</c:f>
              <c:numCache>
                <c:formatCode>0.0</c:formatCode>
                <c:ptCount val="38"/>
                <c:pt idx="0" formatCode="General">
                  <c:v>14.900000000000006</c:v>
                </c:pt>
                <c:pt idx="1">
                  <c:v>14.899999999999842</c:v>
                </c:pt>
                <c:pt idx="2" formatCode="General">
                  <c:v>14.899999999999874</c:v>
                </c:pt>
                <c:pt idx="3" formatCode="General">
                  <c:v>14.900000000000036</c:v>
                </c:pt>
                <c:pt idx="4" formatCode="General">
                  <c:v>14.899999999999944</c:v>
                </c:pt>
                <c:pt idx="5" formatCode="General">
                  <c:v>14.899999999999807</c:v>
                </c:pt>
                <c:pt idx="6" formatCode="General">
                  <c:v>14.899999999999803</c:v>
                </c:pt>
                <c:pt idx="7" formatCode="General">
                  <c:v>14.899999999999778</c:v>
                </c:pt>
                <c:pt idx="8" formatCode="General">
                  <c:v>14.8999999999998</c:v>
                </c:pt>
                <c:pt idx="9" formatCode="0.00">
                  <c:v>10.977912087912072</c:v>
                </c:pt>
                <c:pt idx="10" formatCode="0.00">
                  <c:v>2.6081000000000087</c:v>
                </c:pt>
                <c:pt idx="11" formatCode="0.00">
                  <c:v>12.873928571428475</c:v>
                </c:pt>
                <c:pt idx="12" formatCode="0.00">
                  <c:v>5.5124528301886784</c:v>
                </c:pt>
                <c:pt idx="13" formatCode="0.00">
                  <c:v>1.1093617021276665</c:v>
                </c:pt>
                <c:pt idx="14" formatCode="0.00">
                  <c:v>5.0225531914893482</c:v>
                </c:pt>
                <c:pt idx="15" formatCode="0.00">
                  <c:v>6.5029924242424659</c:v>
                </c:pt>
                <c:pt idx="16" formatCode="0.00">
                  <c:v>12.370697674418622</c:v>
                </c:pt>
                <c:pt idx="17" formatCode="0.00">
                  <c:v>11.61625000000002</c:v>
                </c:pt>
                <c:pt idx="18" formatCode="0.00">
                  <c:v>11.990454545454499</c:v>
                </c:pt>
                <c:pt idx="19" formatCode="0.00">
                  <c:v>12.268936170212752</c:v>
                </c:pt>
                <c:pt idx="20" formatCode="0.00">
                  <c:v>12.6916666666667</c:v>
                </c:pt>
                <c:pt idx="21" formatCode="0.00">
                  <c:v>12.409473684210559</c:v>
                </c:pt>
                <c:pt idx="22" formatCode="0.00">
                  <c:v>12.34641509433961</c:v>
                </c:pt>
                <c:pt idx="23" formatCode="0.00">
                  <c:v>11.49393442622946</c:v>
                </c:pt>
                <c:pt idx="24" formatCode="0.00">
                  <c:v>12.741111111111087</c:v>
                </c:pt>
                <c:pt idx="25" formatCode="0.00">
                  <c:v>19.550000000000086</c:v>
                </c:pt>
                <c:pt idx="26" formatCode="0.00">
                  <c:v>11.687619047618997</c:v>
                </c:pt>
                <c:pt idx="27" formatCode="0.00">
                  <c:v>12.154803921568615</c:v>
                </c:pt>
                <c:pt idx="28" formatCode="0.00">
                  <c:v>11.806666666666679</c:v>
                </c:pt>
                <c:pt idx="29" formatCode="0.00">
                  <c:v>12.534285714285719</c:v>
                </c:pt>
                <c:pt idx="30" formatCode="0.00">
                  <c:v>13.075937500000004</c:v>
                </c:pt>
                <c:pt idx="31" formatCode="0.00">
                  <c:v>13.086666666666673</c:v>
                </c:pt>
                <c:pt idx="32" formatCode="0.00">
                  <c:v>12.893793103448248</c:v>
                </c:pt>
                <c:pt idx="33" formatCode="0.00">
                  <c:v>9.9641176470588224</c:v>
                </c:pt>
                <c:pt idx="34" formatCode="0.00">
                  <c:v>12.476470588235308</c:v>
                </c:pt>
                <c:pt idx="35" formatCode="0.00">
                  <c:v>12.307499999999983</c:v>
                </c:pt>
                <c:pt idx="36" formatCode="0.00">
                  <c:v>10.265263157894722</c:v>
                </c:pt>
                <c:pt idx="37" formatCode="0.00">
                  <c:v>10.156666666666659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E3-4B10-BD99-7B8E508812FD}"/>
            </c:ext>
          </c:extLst>
        </c:ser>
        <c:ser>
          <c:idx val="1"/>
          <c:order val="1"/>
          <c:tx>
            <c:v>Reactor Effluent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2 Gen 1+2'!$J$5:$J$42</c:f>
              <c:numCache>
                <c:formatCode>0.0000</c:formatCode>
                <c:ptCount val="38"/>
                <c:pt idx="0" formatCode="0.00000">
                  <c:v>1.0817610062893101E-5</c:v>
                </c:pt>
                <c:pt idx="1">
                  <c:v>2.0572173913043466E-4</c:v>
                </c:pt>
                <c:pt idx="2" formatCode="General">
                  <c:v>1.6753036437246955E-4</c:v>
                </c:pt>
                <c:pt idx="3" formatCode="0.000">
                  <c:v>4.1015306122448997E-3</c:v>
                </c:pt>
                <c:pt idx="4" formatCode="0.000">
                  <c:v>1.6456692913385832E-3</c:v>
                </c:pt>
                <c:pt idx="5" formatCode="0.00000">
                  <c:v>9.9999999999998348E-6</c:v>
                </c:pt>
                <c:pt idx="6" formatCode="0.00000">
                  <c:v>9.9999999999998297E-6</c:v>
                </c:pt>
                <c:pt idx="7" formatCode="0.00000">
                  <c:v>9.9999999999998297E-6</c:v>
                </c:pt>
                <c:pt idx="8" formatCode="0.00000">
                  <c:v>9.9999999999998246E-6</c:v>
                </c:pt>
                <c:pt idx="9" formatCode="0.00000">
                  <c:v>9.9633699633698652E-6</c:v>
                </c:pt>
                <c:pt idx="10" formatCode="0.00000">
                  <c:v>9.9999999999998738E-6</c:v>
                </c:pt>
                <c:pt idx="11" formatCode="0.00000">
                  <c:v>0.14285714285714285</c:v>
                </c:pt>
                <c:pt idx="12" formatCode="0.0">
                  <c:v>0.11433962264150972</c:v>
                </c:pt>
                <c:pt idx="13" formatCode="0.0">
                  <c:v>0.11322695035461008</c:v>
                </c:pt>
                <c:pt idx="14" formatCode="0.0">
                  <c:v>0.4549999999999999</c:v>
                </c:pt>
                <c:pt idx="15" formatCode="0.0">
                  <c:v>0.10409090909090922</c:v>
                </c:pt>
                <c:pt idx="16" formatCode="0.0">
                  <c:v>7.0697674418604653E-2</c:v>
                </c:pt>
                <c:pt idx="17" formatCode="0.0">
                  <c:v>6.0156249999999967E-2</c:v>
                </c:pt>
                <c:pt idx="18" formatCode="0.0">
                  <c:v>8.1136363636363604E-2</c:v>
                </c:pt>
                <c:pt idx="19" formatCode="0.0">
                  <c:v>6.3404255319148936E-2</c:v>
                </c:pt>
                <c:pt idx="20" formatCode="0.0">
                  <c:v>4.9500000000000002E-2</c:v>
                </c:pt>
                <c:pt idx="21" formatCode="0.00">
                  <c:v>6.10526315789474E-2</c:v>
                </c:pt>
                <c:pt idx="22" formatCode="0.00">
                  <c:v>8.4528301886792431E-2</c:v>
                </c:pt>
                <c:pt idx="23" formatCode="0.00">
                  <c:v>5.1475409836065585E-2</c:v>
                </c:pt>
                <c:pt idx="24" formatCode="0.00">
                  <c:v>3.1111111111111114E-2</c:v>
                </c:pt>
                <c:pt idx="25" formatCode="0.00">
                  <c:v>0.31949999999999867</c:v>
                </c:pt>
                <c:pt idx="26" formatCode="0.00">
                  <c:v>8.3095238095238111E-2</c:v>
                </c:pt>
                <c:pt idx="27" formatCode="0.00">
                  <c:v>7.4705882352941205E-2</c:v>
                </c:pt>
                <c:pt idx="28" formatCode="0.00">
                  <c:v>0</c:v>
                </c:pt>
                <c:pt idx="29" formatCode="0.00">
                  <c:v>8.2448979591836738E-2</c:v>
                </c:pt>
                <c:pt idx="30" formatCode="0.00">
                  <c:v>1.9375E-2</c:v>
                </c:pt>
                <c:pt idx="31" formatCode="0.00">
                  <c:v>0.11</c:v>
                </c:pt>
                <c:pt idx="32" formatCode="0.00">
                  <c:v>0.12655172413793106</c:v>
                </c:pt>
                <c:pt idx="33" formatCode="0.00">
                  <c:v>0.10588235294117648</c:v>
                </c:pt>
                <c:pt idx="34" formatCode="0.00">
                  <c:v>0.13</c:v>
                </c:pt>
                <c:pt idx="35" formatCode="0.00">
                  <c:v>0.2566666666666666</c:v>
                </c:pt>
                <c:pt idx="36" formatCode="0.00">
                  <c:v>0.10052631578947367</c:v>
                </c:pt>
                <c:pt idx="37" formatCode="0.00">
                  <c:v>7.2222222222222215E-2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E3-4B10-BD99-7B8E50881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408236"/>
        <c:axId val="1294820600"/>
      </c:lineChart>
      <c:catAx>
        <c:axId val="14354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94820600"/>
        <c:crosses val="autoZero"/>
        <c:auto val="1"/>
        <c:lblAlgn val="ctr"/>
        <c:lblOffset val="100"/>
        <c:noMultiLvlLbl val="1"/>
      </c:catAx>
      <c:valAx>
        <c:axId val="1294820600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Concentration,</a:t>
                </a:r>
                <a:r>
                  <a:rPr lang="en-GB" baseline="0"/>
                  <a:t> vol%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35408236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Recovery Run 2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2 Gen 1+2'!$M$5:$M$42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7.0099140010570089</c:v>
                </c:pt>
                <c:pt idx="2">
                  <c:v>6.1899362569673242</c:v>
                </c:pt>
                <c:pt idx="3">
                  <c:v>3.7190812710161372</c:v>
                </c:pt>
                <c:pt idx="4">
                  <c:v>5.0295289088561441</c:v>
                </c:pt>
                <c:pt idx="5">
                  <c:v>8.7699948832178318</c:v>
                </c:pt>
                <c:pt idx="6">
                  <c:v>9.4699956269853107</c:v>
                </c:pt>
                <c:pt idx="7">
                  <c:v>9.0799943571033328</c:v>
                </c:pt>
                <c:pt idx="8">
                  <c:v>9.869995536489899</c:v>
                </c:pt>
                <c:pt idx="9">
                  <c:v>5.7799986123239728</c:v>
                </c:pt>
                <c:pt idx="10">
                  <c:v>0.89999872180055562</c:v>
                </c:pt>
                <c:pt idx="11">
                  <c:v>8.3579989264455783</c:v>
                </c:pt>
                <c:pt idx="12">
                  <c:v>2.0965808961670818</c:v>
                </c:pt>
                <c:pt idx="13">
                  <c:v>0.25662437479603645</c:v>
                </c:pt>
                <c:pt idx="14">
                  <c:v>1.3215404066666663</c:v>
                </c:pt>
                <c:pt idx="15">
                  <c:v>1.959250148080808</c:v>
                </c:pt>
                <c:pt idx="16">
                  <c:v>3.63889952248062</c:v>
                </c:pt>
                <c:pt idx="17">
                  <c:v>5.9583040208333333</c:v>
                </c:pt>
                <c:pt idx="18">
                  <c:v>4.5459168909090906</c:v>
                </c:pt>
                <c:pt idx="19">
                  <c:v>5.0079252936170207</c:v>
                </c:pt>
                <c:pt idx="20">
                  <c:v>5.7108919999999994</c:v>
                </c:pt>
                <c:pt idx="21">
                  <c:v>5.1778863438596492</c:v>
                </c:pt>
                <c:pt idx="22">
                  <c:v>5.4230470037735854</c:v>
                </c:pt>
                <c:pt idx="23">
                  <c:v>5.3701496655737708</c:v>
                </c:pt>
                <c:pt idx="24">
                  <c:v>5.1449434074074079</c:v>
                </c:pt>
                <c:pt idx="25">
                  <c:v>5.4002322000000005</c:v>
                </c:pt>
                <c:pt idx="26">
                  <c:v>3.6071058349206351</c:v>
                </c:pt>
                <c:pt idx="27">
                  <c:v>4.9571132352941172</c:v>
                </c:pt>
                <c:pt idx="28">
                  <c:v>1.39</c:v>
                </c:pt>
                <c:pt idx="29">
                  <c:v>4.3354109278911563</c:v>
                </c:pt>
                <c:pt idx="30">
                  <c:v>3.4674861551041669</c:v>
                </c:pt>
                <c:pt idx="31">
                  <c:v>2.7478559999999996</c:v>
                </c:pt>
                <c:pt idx="32">
                  <c:v>2.3161451172413794</c:v>
                </c:pt>
                <c:pt idx="33">
                  <c:v>0.84172000000000002</c:v>
                </c:pt>
                <c:pt idx="34">
                  <c:v>1.0291562666666667</c:v>
                </c:pt>
                <c:pt idx="35">
                  <c:v>1.0374062222222222</c:v>
                </c:pt>
                <c:pt idx="36">
                  <c:v>1.6621696701754385</c:v>
                </c:pt>
                <c:pt idx="37">
                  <c:v>1.5846844444444446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E-4670-860C-A98317760262}"/>
            </c:ext>
          </c:extLst>
        </c:ser>
        <c:ser>
          <c:idx val="1"/>
          <c:order val="1"/>
          <c:tx>
            <c:v>CO2 Recovery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'Run 2 Gen 1+2'!$S$5:$S$42</c:f>
              <c:numCache>
                <c:formatCode>General</c:formatCode>
                <c:ptCount val="38"/>
                <c:pt idx="0">
                  <c:v>0.23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0.18</c:v>
                </c:pt>
                <c:pt idx="4">
                  <c:v>0.12</c:v>
                </c:pt>
                <c:pt idx="5">
                  <c:v>0.22</c:v>
                </c:pt>
                <c:pt idx="6">
                  <c:v>0.36</c:v>
                </c:pt>
                <c:pt idx="7">
                  <c:v>0.51</c:v>
                </c:pt>
                <c:pt idx="8">
                  <c:v>0</c:v>
                </c:pt>
                <c:pt idx="9">
                  <c:v>0.37</c:v>
                </c:pt>
                <c:pt idx="10">
                  <c:v>0.42</c:v>
                </c:pt>
                <c:pt idx="11">
                  <c:v>0.28999999999999998</c:v>
                </c:pt>
                <c:pt idx="12">
                  <c:v>0.08</c:v>
                </c:pt>
                <c:pt idx="13">
                  <c:v>0.14000000000000001</c:v>
                </c:pt>
                <c:pt idx="14">
                  <c:v>0.99</c:v>
                </c:pt>
                <c:pt idx="15">
                  <c:v>1.01</c:v>
                </c:pt>
                <c:pt idx="16">
                  <c:v>0.68</c:v>
                </c:pt>
                <c:pt idx="17">
                  <c:v>0.72</c:v>
                </c:pt>
                <c:pt idx="18">
                  <c:v>0.73</c:v>
                </c:pt>
                <c:pt idx="19">
                  <c:v>0.6</c:v>
                </c:pt>
                <c:pt idx="20">
                  <c:v>0.78</c:v>
                </c:pt>
                <c:pt idx="21">
                  <c:v>0.77</c:v>
                </c:pt>
                <c:pt idx="22">
                  <c:v>0.7</c:v>
                </c:pt>
                <c:pt idx="23">
                  <c:v>0.81</c:v>
                </c:pt>
                <c:pt idx="24">
                  <c:v>0.97</c:v>
                </c:pt>
                <c:pt idx="25">
                  <c:v>0.78</c:v>
                </c:pt>
                <c:pt idx="26">
                  <c:v>0.66</c:v>
                </c:pt>
                <c:pt idx="27">
                  <c:v>0.87</c:v>
                </c:pt>
                <c:pt idx="28">
                  <c:v>0.57999999999999996</c:v>
                </c:pt>
                <c:pt idx="29">
                  <c:v>0.63</c:v>
                </c:pt>
                <c:pt idx="30">
                  <c:v>0.31</c:v>
                </c:pt>
                <c:pt idx="31">
                  <c:v>0.44</c:v>
                </c:pt>
                <c:pt idx="32">
                  <c:v>0.7</c:v>
                </c:pt>
                <c:pt idx="33">
                  <c:v>0.83</c:v>
                </c:pt>
                <c:pt idx="34">
                  <c:v>0.46</c:v>
                </c:pt>
                <c:pt idx="35">
                  <c:v>0.75</c:v>
                </c:pt>
                <c:pt idx="36">
                  <c:v>0.44</c:v>
                </c:pt>
                <c:pt idx="3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9E-4670-860C-A98317760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3311"/>
        <c:axId val="186132515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 Captured &amp; Recovery,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Concentration flue gas in Run 2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2 Gen 1+2'!$M$5:$M$42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7.0099140010570089</c:v>
                </c:pt>
                <c:pt idx="2">
                  <c:v>6.1899362569673242</c:v>
                </c:pt>
                <c:pt idx="3">
                  <c:v>3.7190812710161372</c:v>
                </c:pt>
                <c:pt idx="4">
                  <c:v>5.0295289088561441</c:v>
                </c:pt>
                <c:pt idx="5">
                  <c:v>8.7699948832178318</c:v>
                </c:pt>
                <c:pt idx="6">
                  <c:v>9.4699956269853107</c:v>
                </c:pt>
                <c:pt idx="7">
                  <c:v>9.0799943571033328</c:v>
                </c:pt>
                <c:pt idx="8">
                  <c:v>9.869995536489899</c:v>
                </c:pt>
                <c:pt idx="9">
                  <c:v>5.7799986123239728</c:v>
                </c:pt>
                <c:pt idx="10">
                  <c:v>0.89999872180055562</c:v>
                </c:pt>
                <c:pt idx="11">
                  <c:v>8.3579989264455783</c:v>
                </c:pt>
                <c:pt idx="12">
                  <c:v>2.0965808961670818</c:v>
                </c:pt>
                <c:pt idx="13">
                  <c:v>0.25662437479603645</c:v>
                </c:pt>
                <c:pt idx="14">
                  <c:v>1.3215404066666663</c:v>
                </c:pt>
                <c:pt idx="15">
                  <c:v>1.959250148080808</c:v>
                </c:pt>
                <c:pt idx="16">
                  <c:v>3.63889952248062</c:v>
                </c:pt>
                <c:pt idx="17">
                  <c:v>5.9583040208333333</c:v>
                </c:pt>
                <c:pt idx="18">
                  <c:v>4.5459168909090906</c:v>
                </c:pt>
                <c:pt idx="19">
                  <c:v>5.0079252936170207</c:v>
                </c:pt>
                <c:pt idx="20">
                  <c:v>5.7108919999999994</c:v>
                </c:pt>
                <c:pt idx="21">
                  <c:v>5.1778863438596492</c:v>
                </c:pt>
                <c:pt idx="22">
                  <c:v>5.4230470037735854</c:v>
                </c:pt>
                <c:pt idx="23">
                  <c:v>5.3701496655737708</c:v>
                </c:pt>
                <c:pt idx="24">
                  <c:v>5.1449434074074079</c:v>
                </c:pt>
                <c:pt idx="25">
                  <c:v>5.4002322000000005</c:v>
                </c:pt>
                <c:pt idx="26">
                  <c:v>3.6071058349206351</c:v>
                </c:pt>
                <c:pt idx="27">
                  <c:v>4.9571132352941172</c:v>
                </c:pt>
                <c:pt idx="28">
                  <c:v>1.39</c:v>
                </c:pt>
                <c:pt idx="29">
                  <c:v>4.3354109278911563</c:v>
                </c:pt>
                <c:pt idx="30">
                  <c:v>3.4674861551041669</c:v>
                </c:pt>
                <c:pt idx="31">
                  <c:v>2.7478559999999996</c:v>
                </c:pt>
                <c:pt idx="32">
                  <c:v>2.3161451172413794</c:v>
                </c:pt>
                <c:pt idx="33">
                  <c:v>0.84172000000000002</c:v>
                </c:pt>
                <c:pt idx="34">
                  <c:v>1.0291562666666667</c:v>
                </c:pt>
                <c:pt idx="35">
                  <c:v>1.0374062222222222</c:v>
                </c:pt>
                <c:pt idx="36">
                  <c:v>1.6621696701754385</c:v>
                </c:pt>
                <c:pt idx="37">
                  <c:v>1.5846844444444446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0-46B1-AB0A-5DA38E94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33311"/>
        <c:axId val="1861325151"/>
      </c:lineChart>
      <c:lineChart>
        <c:grouping val="standard"/>
        <c:varyColors val="0"/>
        <c:ser>
          <c:idx val="1"/>
          <c:order val="1"/>
          <c:tx>
            <c:v>Conc flue gas in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'Run 2 Gen 1+2'!$F$5:$F$42</c:f>
              <c:numCache>
                <c:formatCode>0.0</c:formatCode>
                <c:ptCount val="38"/>
                <c:pt idx="0" formatCode="General">
                  <c:v>14.900000000000006</c:v>
                </c:pt>
                <c:pt idx="1">
                  <c:v>14.899999999999842</c:v>
                </c:pt>
                <c:pt idx="2" formatCode="General">
                  <c:v>14.899999999999874</c:v>
                </c:pt>
                <c:pt idx="3" formatCode="General">
                  <c:v>14.900000000000036</c:v>
                </c:pt>
                <c:pt idx="4" formatCode="General">
                  <c:v>14.899999999999944</c:v>
                </c:pt>
                <c:pt idx="5" formatCode="General">
                  <c:v>14.899999999999807</c:v>
                </c:pt>
                <c:pt idx="6" formatCode="General">
                  <c:v>14.899999999999803</c:v>
                </c:pt>
                <c:pt idx="7" formatCode="General">
                  <c:v>14.899999999999778</c:v>
                </c:pt>
                <c:pt idx="8" formatCode="General">
                  <c:v>14.8999999999998</c:v>
                </c:pt>
                <c:pt idx="9" formatCode="0.00">
                  <c:v>10.977912087912072</c:v>
                </c:pt>
                <c:pt idx="10" formatCode="0.00">
                  <c:v>2.6081000000000087</c:v>
                </c:pt>
                <c:pt idx="11" formatCode="0.00">
                  <c:v>12.873928571428475</c:v>
                </c:pt>
                <c:pt idx="12" formatCode="0.00">
                  <c:v>5.5124528301886784</c:v>
                </c:pt>
                <c:pt idx="13" formatCode="0.00">
                  <c:v>1.1093617021276665</c:v>
                </c:pt>
                <c:pt idx="14" formatCode="0.00">
                  <c:v>5.0225531914893482</c:v>
                </c:pt>
                <c:pt idx="15" formatCode="0.00">
                  <c:v>6.5029924242424659</c:v>
                </c:pt>
                <c:pt idx="16" formatCode="0.00">
                  <c:v>12.370697674418622</c:v>
                </c:pt>
                <c:pt idx="17" formatCode="0.00">
                  <c:v>11.61625000000002</c:v>
                </c:pt>
                <c:pt idx="18" formatCode="0.00">
                  <c:v>11.990454545454499</c:v>
                </c:pt>
                <c:pt idx="19" formatCode="0.00">
                  <c:v>12.268936170212752</c:v>
                </c:pt>
                <c:pt idx="20" formatCode="0.00">
                  <c:v>12.6916666666667</c:v>
                </c:pt>
                <c:pt idx="21" formatCode="0.00">
                  <c:v>12.409473684210559</c:v>
                </c:pt>
                <c:pt idx="22" formatCode="0.00">
                  <c:v>12.34641509433961</c:v>
                </c:pt>
                <c:pt idx="23" formatCode="0.00">
                  <c:v>11.49393442622946</c:v>
                </c:pt>
                <c:pt idx="24" formatCode="0.00">
                  <c:v>12.741111111111087</c:v>
                </c:pt>
                <c:pt idx="25" formatCode="0.00">
                  <c:v>19.550000000000086</c:v>
                </c:pt>
                <c:pt idx="26" formatCode="0.00">
                  <c:v>11.687619047618997</c:v>
                </c:pt>
                <c:pt idx="27" formatCode="0.00">
                  <c:v>12.154803921568615</c:v>
                </c:pt>
                <c:pt idx="28" formatCode="0.00">
                  <c:v>11.806666666666679</c:v>
                </c:pt>
                <c:pt idx="29" formatCode="0.00">
                  <c:v>12.534285714285719</c:v>
                </c:pt>
                <c:pt idx="30" formatCode="0.00">
                  <c:v>13.075937500000004</c:v>
                </c:pt>
                <c:pt idx="31" formatCode="0.00">
                  <c:v>13.086666666666673</c:v>
                </c:pt>
                <c:pt idx="32" formatCode="0.00">
                  <c:v>12.893793103448248</c:v>
                </c:pt>
                <c:pt idx="33" formatCode="0.00">
                  <c:v>9.9641176470588224</c:v>
                </c:pt>
                <c:pt idx="34" formatCode="0.00">
                  <c:v>12.476470588235308</c:v>
                </c:pt>
                <c:pt idx="35" formatCode="0.00">
                  <c:v>12.307499999999983</c:v>
                </c:pt>
                <c:pt idx="36" formatCode="0.00">
                  <c:v>10.265263157894722</c:v>
                </c:pt>
                <c:pt idx="37" formatCode="0.00">
                  <c:v>10.156666666666659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0-46B1-AB0A-5DA38E94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47711"/>
        <c:axId val="186133091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valAx>
        <c:axId val="1861330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flue gas inlet,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7711"/>
        <c:crosses val="max"/>
        <c:crossBetween val="between"/>
      </c:valAx>
      <c:catAx>
        <c:axId val="1861347711"/>
        <c:scaling>
          <c:orientation val="minMax"/>
        </c:scaling>
        <c:delete val="1"/>
        <c:axPos val="b"/>
        <c:majorTickMark val="out"/>
        <c:minorTickMark val="none"/>
        <c:tickLblPos val="nextTo"/>
        <c:crossAx val="186133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3</a:t>
            </a: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
Hour Cumulative Run 3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'Run 3 Zeolite  '!$D$5:$D$7</c:f>
              <c:numCache>
                <c:formatCode>h:mm</c:formatCode>
                <c:ptCount val="3"/>
                <c:pt idx="0">
                  <c:v>0.2048611111111111</c:v>
                </c:pt>
                <c:pt idx="1">
                  <c:v>0.33888888888888885</c:v>
                </c:pt>
                <c:pt idx="2" formatCode="[h]:mm">
                  <c:v>0.5215277777777777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D-42DB-B8D2-FA3481C6A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367449"/>
        <c:axId val="145826630"/>
      </c:lineChart>
      <c:catAx>
        <c:axId val="102936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auto val="1"/>
        <c:lblAlgn val="ctr"/>
        <c:lblOffset val="100"/>
        <c:noMultiLvlLbl val="1"/>
      </c:catAx>
      <c:valAx>
        <c:axId val="145826630"/>
        <c:scaling>
          <c:orientation val="minMax"/>
          <c:max val="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Captured Run 3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Co2 Captured Run 3 Cumulative</c:v>
          </c:tx>
          <c:spPr>
            <a:ln w="31750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'Run 3 Zeolite  '!$N$5:$N$7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4.9565592514619876</c:v>
                </c:pt>
                <c:pt idx="2">
                  <c:v>5.8627361403508766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4-44D8-AA01-27ED8745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72841"/>
        <c:axId val="526947075"/>
      </c:lineChart>
      <c:catAx>
        <c:axId val="19987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auto val="1"/>
        <c:lblAlgn val="ctr"/>
        <c:lblOffset val="100"/>
        <c:noMultiLvlLbl val="1"/>
      </c:cat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between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Run 3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3104604452463369"/>
          <c:y val="1.948503827418232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mpd="sng">
              <a:solidFill>
                <a:srgbClr val="0070C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1.7004474689729786E-2"/>
                  <c:y val="-0.63526791927627002"/>
                </c:manualLayout>
              </c:layout>
              <c:numFmt formatCode="General" sourceLinked="0"/>
            </c:trendlineLbl>
          </c:trendline>
          <c:val>
            <c:numRef>
              <c:f>'Run 3 Zeolite  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BB-49A3-9B5A-3F89C7519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3</a:t>
            </a: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</c:v>
          </c:tx>
          <c:spPr>
            <a:ln w="25400">
              <a:noFill/>
            </a:ln>
          </c:spPr>
          <c:xVal>
            <c:numRef>
              <c:f>'Run 3 Zeolite  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 Zeolite  '!$O$5:$O$7</c:f>
              <c:numCache>
                <c:formatCode>General</c:formatCode>
                <c:ptCount val="3"/>
                <c:pt idx="0">
                  <c:v>99.82</c:v>
                </c:pt>
                <c:pt idx="1">
                  <c:v>95.16</c:v>
                </c:pt>
                <c:pt idx="2">
                  <c:v>99.58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8-4655-8B38-392A2B620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Run 3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3 Zeolite  '!$T$5:$T$7</c:f>
              <c:numCache>
                <c:formatCode>General</c:formatCode>
                <c:ptCount val="3"/>
                <c:pt idx="0">
                  <c:v>0.51</c:v>
                </c:pt>
                <c:pt idx="1">
                  <c:v>1.1600000000000001</c:v>
                </c:pt>
                <c:pt idx="2">
                  <c:v>1.1600000000000001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D-4607-AB06-B70500CFF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3158"/>
        <c:axId val="1398771263"/>
      </c:lineChart>
      <c:catAx>
        <c:axId val="12016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98771263"/>
        <c:crosses val="autoZero"/>
        <c:auto val="1"/>
        <c:lblAlgn val="ctr"/>
        <c:lblOffset val="100"/>
        <c:noMultiLvlLbl val="1"/>
      </c:catAx>
      <c:valAx>
        <c:axId val="1398771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CO2 Captured,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0163158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3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CO2 Recovered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'Run 3 Zeolite  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1-4924-B096-1C09EA16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Co2 Recovery</c:v>
                </c:tx>
                <c:spPr>
                  <a:ln w="28575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'Run 1 Gen 1 '!$AD$7:$AD$36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0.20161057866666754</c:v>
                      </c:pt>
                      <c:pt idx="1">
                        <c:v>0.40322115733333508</c:v>
                      </c:pt>
                      <c:pt idx="2">
                        <c:v>0.88652475733333347</c:v>
                      </c:pt>
                      <c:pt idx="3">
                        <c:v>1.3465247573333334</c:v>
                      </c:pt>
                      <c:pt idx="4">
                        <c:v>1.3465247573333334</c:v>
                      </c:pt>
                      <c:pt idx="5">
                        <c:v>2.7065247573333338</c:v>
                      </c:pt>
                      <c:pt idx="6">
                        <c:v>4.0565247573333334</c:v>
                      </c:pt>
                      <c:pt idx="7">
                        <c:v>5.3965247573333333</c:v>
                      </c:pt>
                      <c:pt idx="8">
                        <c:v>6.0665247573333332</c:v>
                      </c:pt>
                      <c:pt idx="9">
                        <c:v>6.4265247573333335</c:v>
                      </c:pt>
                      <c:pt idx="10">
                        <c:v>7.0465247573333336</c:v>
                      </c:pt>
                      <c:pt idx="11">
                        <c:v>7.7665247573333334</c:v>
                      </c:pt>
                      <c:pt idx="12">
                        <c:v>8.4265247573333326</c:v>
                      </c:pt>
                      <c:pt idx="13">
                        <c:v>9.0665247573333332</c:v>
                      </c:pt>
                      <c:pt idx="14">
                        <c:v>9.7365247573333331</c:v>
                      </c:pt>
                      <c:pt idx="15">
                        <c:v>10.196524757333334</c:v>
                      </c:pt>
                      <c:pt idx="16">
                        <c:v>10.566524757333333</c:v>
                      </c:pt>
                      <c:pt idx="17">
                        <c:v>11.156524757333333</c:v>
                      </c:pt>
                      <c:pt idx="18">
                        <c:v>11.786524757333334</c:v>
                      </c:pt>
                      <c:pt idx="19">
                        <c:v>12.226524757333333</c:v>
                      </c:pt>
                      <c:pt idx="20">
                        <c:v>12.676524757333333</c:v>
                      </c:pt>
                      <c:pt idx="21">
                        <c:v>13.216524757333332</c:v>
                      </c:pt>
                      <c:pt idx="22">
                        <c:v>13.776524757333332</c:v>
                      </c:pt>
                      <c:pt idx="23">
                        <c:v>14.026524757333332</c:v>
                      </c:pt>
                      <c:pt idx="24">
                        <c:v>14.246524757333333</c:v>
                      </c:pt>
                      <c:pt idx="25">
                        <c:v>14.476524757333333</c:v>
                      </c:pt>
                      <c:pt idx="26">
                        <c:v>14.676524757333333</c:v>
                      </c:pt>
                      <c:pt idx="27">
                        <c:v>14.946524757333332</c:v>
                      </c:pt>
                      <c:pt idx="28">
                        <c:v>15.146524757333331</c:v>
                      </c:pt>
                      <c:pt idx="29">
                        <c:v>15.346524757333331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221-4924-B096-1C09EA168DD6}"/>
                  </c:ext>
                </c:extLst>
              </c15:ser>
            </c15:filteredLineSeries>
          </c:ext>
        </c:extLst>
      </c:lineChart>
      <c:lineChart>
        <c:grouping val="standard"/>
        <c:varyColors val="1"/>
        <c:ser>
          <c:idx val="2"/>
          <c:order val="2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'Run 3 Zeolite  '!$U$5:$U$7</c:f>
              <c:numCache>
                <c:formatCode>General</c:formatCode>
                <c:ptCount val="3"/>
                <c:pt idx="0">
                  <c:v>14</c:v>
                </c:pt>
                <c:pt idx="1">
                  <c:v>49.5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1-4924-B096-1C09EA16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7744"/>
        <c:axId val="1615844480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</a:t>
                </a:r>
                <a:r>
                  <a:rPr lang="en-GB" baseline="0"/>
                  <a:t> Recovered,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6158444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Recovery of CO2,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77744"/>
        <c:crosses val="max"/>
        <c:crossBetween val="between"/>
      </c:valAx>
      <c:catAx>
        <c:axId val="3437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8444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3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3 Zeolite  '!$U$5:$U$7</c:f>
              <c:numCache>
                <c:formatCode>General</c:formatCode>
                <c:ptCount val="3"/>
                <c:pt idx="0">
                  <c:v>14</c:v>
                </c:pt>
                <c:pt idx="1">
                  <c:v>49.5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A-43A1-9F59-B4118766E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210351"/>
        <c:axId val="1138649703"/>
      </c:lineChart>
      <c:catAx>
        <c:axId val="21821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auto val="1"/>
        <c:lblAlgn val="ctr"/>
        <c:lblOffset val="100"/>
        <c:noMultiLvlLbl val="1"/>
      </c:catAx>
      <c:valAx>
        <c:axId val="1138649703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Daily Recovery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'Run 3 Zeolite  '!$S$5:$S$7</c:f>
              <c:numCache>
                <c:formatCode>General</c:formatCode>
                <c:ptCount val="3"/>
                <c:pt idx="0">
                  <c:v>0.51</c:v>
                </c:pt>
                <c:pt idx="1">
                  <c:v>0.65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D-40F2-962E-0D4601A9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217"/>
        <c:axId val="526601337"/>
      </c:lineChart>
      <c:catAx>
        <c:axId val="633555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auto val="1"/>
        <c:lblAlgn val="ctr"/>
        <c:lblOffset val="100"/>
        <c:noMultiLvlLbl val="1"/>
      </c:catAx>
      <c:valAx>
        <c:axId val="526601337"/>
        <c:scaling>
          <c:orientation val="minMax"/>
          <c:max val="1.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between"/>
        <c:majorUnit val="0.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 per Cycle
Run 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0.12694097662450732"/>
                  <c:y val="-0.43993509747106146"/>
                </c:manualLayout>
              </c:layout>
              <c:numFmt formatCode="General" sourceLinked="0"/>
            </c:trendlineLbl>
          </c:trendline>
          <c:val>
            <c:numRef>
              <c:f>'Run 3 Zeolite  '!$C$5:$C$7</c:f>
              <c:numCache>
                <c:formatCode>h:mm</c:formatCode>
                <c:ptCount val="3"/>
                <c:pt idx="0">
                  <c:v>0.2048611111111111</c:v>
                </c:pt>
                <c:pt idx="1">
                  <c:v>0.13402777777777775</c:v>
                </c:pt>
                <c:pt idx="2">
                  <c:v>0.18263888888888885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E-479B-B337-DEEF7B6CF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667578"/>
        <c:axId val="1045260324"/>
      </c:lineChart>
      <c:catAx>
        <c:axId val="156866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45260324"/>
        <c:crosses val="autoZero"/>
        <c:auto val="1"/>
        <c:lblAlgn val="ctr"/>
        <c:lblOffset val="100"/>
        <c:noMultiLvlLbl val="1"/>
      </c:catAx>
      <c:valAx>
        <c:axId val="1045260324"/>
        <c:scaling>
          <c:orientation val="minMax"/>
          <c:max val="0.3500000000000000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 of Operation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866757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CO₂ Concentration During Adsorption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3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Flue Gas Inlet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3 Zeolite  '!$F$5:$F$7</c:f>
              <c:numCache>
                <c:formatCode>0.00</c:formatCode>
                <c:ptCount val="3"/>
                <c:pt idx="0">
                  <c:v>11.80710526315786</c:v>
                </c:pt>
                <c:pt idx="1">
                  <c:v>12.885238095238131</c:v>
                </c:pt>
                <c:pt idx="2">
                  <c:v>12.929999999999991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FC-496E-9F95-A5A74D9AF6F5}"/>
            </c:ext>
          </c:extLst>
        </c:ser>
        <c:ser>
          <c:idx val="1"/>
          <c:order val="1"/>
          <c:tx>
            <c:v>Reactor Effluent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3 Zeolite  '!$J$5:$J$7</c:f>
              <c:numCache>
                <c:formatCode>0.00</c:formatCode>
                <c:ptCount val="3"/>
                <c:pt idx="0">
                  <c:v>4.8421052631578941E-2</c:v>
                </c:pt>
                <c:pt idx="1">
                  <c:v>0.88952380952380961</c:v>
                </c:pt>
                <c:pt idx="2">
                  <c:v>0.12222222222222225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FC-496E-9F95-A5A74D9AF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408236"/>
        <c:axId val="1294820600"/>
      </c:lineChart>
      <c:catAx>
        <c:axId val="14354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94820600"/>
        <c:crosses val="autoZero"/>
        <c:auto val="1"/>
        <c:lblAlgn val="ctr"/>
        <c:lblOffset val="100"/>
        <c:noMultiLvlLbl val="1"/>
      </c:catAx>
      <c:valAx>
        <c:axId val="1294820600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Concentration,</a:t>
                </a:r>
                <a:r>
                  <a:rPr lang="en-GB" baseline="0"/>
                  <a:t> vol%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35408236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Recovery Run 3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3 Zeolite  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F-4698-8AE2-4488B5CC2EFC}"/>
            </c:ext>
          </c:extLst>
        </c:ser>
        <c:ser>
          <c:idx val="1"/>
          <c:order val="1"/>
          <c:tx>
            <c:v>CO2 Recovery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'Run 3 Zeolite  '!$S$5:$S$7</c:f>
              <c:numCache>
                <c:formatCode>General</c:formatCode>
                <c:ptCount val="3"/>
                <c:pt idx="0">
                  <c:v>0.51</c:v>
                </c:pt>
                <c:pt idx="1">
                  <c:v>0.65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CF-4698-8AE2-4488B5CC2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3311"/>
        <c:axId val="186132515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 Captured &amp; Recovery,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Concentration flue gas in Run 3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3 Zeolite  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5-47D2-BDFD-C870F5766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33311"/>
        <c:axId val="1861325151"/>
      </c:lineChart>
      <c:lineChart>
        <c:grouping val="standard"/>
        <c:varyColors val="0"/>
        <c:ser>
          <c:idx val="1"/>
          <c:order val="1"/>
          <c:tx>
            <c:v>Conc flue gas in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'Run 3 Zeolite  '!$F$5:$F$7</c:f>
              <c:numCache>
                <c:formatCode>0.00</c:formatCode>
                <c:ptCount val="3"/>
                <c:pt idx="0">
                  <c:v>11.80710526315786</c:v>
                </c:pt>
                <c:pt idx="1">
                  <c:v>12.885238095238131</c:v>
                </c:pt>
                <c:pt idx="2">
                  <c:v>12.929999999999991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5-47D2-BDFD-C870F5766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47711"/>
        <c:axId val="186133091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valAx>
        <c:axId val="1861330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flue gas inlet,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7711"/>
        <c:crosses val="max"/>
        <c:crossBetween val="between"/>
      </c:valAx>
      <c:catAx>
        <c:axId val="1861347711"/>
        <c:scaling>
          <c:orientation val="minMax"/>
        </c:scaling>
        <c:delete val="1"/>
        <c:axPos val="b"/>
        <c:majorTickMark val="out"/>
        <c:minorTickMark val="none"/>
        <c:tickLblPos val="nextTo"/>
        <c:crossAx val="186133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3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lineChart>
        <c:grouping val="standard"/>
        <c:varyColors val="1"/>
        <c:ser>
          <c:idx val="0"/>
          <c:order val="0"/>
          <c:tx>
            <c:v>Co2 In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3 Zeolite  '!$H$5:$H$7</c:f>
              <c:numCache>
                <c:formatCode>General</c:formatCode>
                <c:ptCount val="3"/>
                <c:pt idx="0">
                  <c:v>3.65</c:v>
                </c:pt>
                <c:pt idx="1">
                  <c:v>1.38</c:v>
                </c:pt>
                <c:pt idx="2">
                  <c:v>0.91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F4-442D-ACDE-7FDFD8877C0D}"/>
            </c:ext>
          </c:extLst>
        </c:ser>
        <c:ser>
          <c:idx val="1"/>
          <c:order val="1"/>
          <c:tx>
            <c:v>Co2 Out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3 Zeolite  '!$L$5:$L$7</c:f>
              <c:numCache>
                <c:formatCode>0.000</c:formatCode>
                <c:ptCount val="3"/>
                <c:pt idx="0" formatCode="0.00">
                  <c:v>6.6078596491228074E-3</c:v>
                </c:pt>
                <c:pt idx="1">
                  <c:v>6.6832888888888886E-2</c:v>
                </c:pt>
                <c:pt idx="2">
                  <c:v>3.8231111111111122E-3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F4-442D-ACDE-7FDFD8877C0D}"/>
            </c:ext>
          </c:extLst>
        </c:ser>
        <c:ser>
          <c:idx val="2"/>
          <c:order val="2"/>
          <c:tx>
            <c:v>Co2 Captured</c:v>
          </c:tx>
          <c:spPr>
            <a:ln w="28575" cmpd="sng">
              <a:solidFill>
                <a:srgbClr val="FFFF00"/>
              </a:solidFill>
              <a:prstDash val="dash"/>
            </a:ln>
          </c:spPr>
          <c:marker>
            <c:symbol val="none"/>
          </c:marker>
          <c:val>
            <c:numRef>
              <c:f>'Run 3 Zeolite  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F4-442D-ACDE-7FDFD8877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42323"/>
        <c:axId val="86163043"/>
      </c:lineChart>
      <c:catAx>
        <c:axId val="116174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auto val="1"/>
        <c:lblAlgn val="ctr"/>
        <c:lblOffset val="100"/>
        <c:noMultiLvlLbl val="1"/>
      </c:catAx>
      <c:valAx>
        <c:axId val="86163043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4</a:t>
            </a: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
Hour Cumulative Run 4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'Run 4 Gen 1 + Zeolite '!$D$5:$D$17</c:f>
              <c:numCache>
                <c:formatCode>[h]:mm</c:formatCode>
                <c:ptCount val="13"/>
                <c:pt idx="0" formatCode="h:mm">
                  <c:v>0.23541666666666666</c:v>
                </c:pt>
                <c:pt idx="1">
                  <c:v>0.40833333333333327</c:v>
                </c:pt>
                <c:pt idx="2">
                  <c:v>0.62777777777777777</c:v>
                </c:pt>
                <c:pt idx="3">
                  <c:v>0.82638888888888884</c:v>
                </c:pt>
                <c:pt idx="4">
                  <c:v>1.1006944444444444</c:v>
                </c:pt>
                <c:pt idx="5">
                  <c:v>1.3569444444444445</c:v>
                </c:pt>
                <c:pt idx="6">
                  <c:v>1.5069444444444446</c:v>
                </c:pt>
                <c:pt idx="7">
                  <c:v>1.7750000000000001</c:v>
                </c:pt>
                <c:pt idx="8">
                  <c:v>2.0993055555555555</c:v>
                </c:pt>
                <c:pt idx="9">
                  <c:v>2.3270833333333334</c:v>
                </c:pt>
                <c:pt idx="10">
                  <c:v>2.5902777777777777</c:v>
                </c:pt>
                <c:pt idx="11">
                  <c:v>2.8374999999999999</c:v>
                </c:pt>
                <c:pt idx="12">
                  <c:v>3.072222222222222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C-473C-A86A-2B55584EA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367449"/>
        <c:axId val="145826630"/>
      </c:lineChart>
      <c:catAx>
        <c:axId val="102936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auto val="1"/>
        <c:lblAlgn val="ctr"/>
        <c:lblOffset val="100"/>
        <c:noMultiLvlLbl val="1"/>
      </c:catAx>
      <c:valAx>
        <c:axId val="145826630"/>
        <c:scaling>
          <c:orientation val="minMax"/>
          <c:max val="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Captured Run 4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Co2 Captured Run 4 Cumulative</c:v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'Run 4 Gen 1 + Zeolite '!$N$5:$N$17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12.217664807272726</c:v>
                </c:pt>
                <c:pt idx="2">
                  <c:v>15.409082622657342</c:v>
                </c:pt>
                <c:pt idx="3">
                  <c:v>21.298797022657343</c:v>
                </c:pt>
                <c:pt idx="4">
                  <c:v>26.663165325221446</c:v>
                </c:pt>
                <c:pt idx="5">
                  <c:v>32.035974429983348</c:v>
                </c:pt>
                <c:pt idx="6">
                  <c:v>37.380563426593518</c:v>
                </c:pt>
                <c:pt idx="7">
                  <c:v>43.430724838358223</c:v>
                </c:pt>
                <c:pt idx="8">
                  <c:v>46.84348406284802</c:v>
                </c:pt>
                <c:pt idx="9">
                  <c:v>50.558976062848018</c:v>
                </c:pt>
                <c:pt idx="10">
                  <c:v>55.725085262848019</c:v>
                </c:pt>
                <c:pt idx="11">
                  <c:v>61.07119446284802</c:v>
                </c:pt>
                <c:pt idx="12">
                  <c:v>65.90408446919723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7-4505-A4F6-783C9AB7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72841"/>
        <c:axId val="526947075"/>
      </c:lineChart>
      <c:catAx>
        <c:axId val="19987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auto val="1"/>
        <c:lblAlgn val="ctr"/>
        <c:lblOffset val="100"/>
        <c:noMultiLvlLbl val="1"/>
      </c:cat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between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Run 4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3104604452463369"/>
          <c:y val="1.948503827418232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mpd="sng">
              <a:solidFill>
                <a:srgbClr val="0070C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1.7004474689729786E-2"/>
                  <c:y val="-0.63526791927627002"/>
                </c:manualLayout>
              </c:layout>
              <c:numFmt formatCode="General" sourceLinked="0"/>
            </c:trendlineLbl>
          </c:trendline>
          <c:val>
            <c:numRef>
              <c:f>'Run 4 Gen 1 + Zeolite '!$M$5:$M$17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3.0425939999999998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D7-4EB6-A8FD-2DA710CFF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4</a:t>
            </a: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</c:v>
          </c:tx>
          <c:spPr>
            <a:ln w="25400">
              <a:noFill/>
            </a:ln>
          </c:spPr>
          <c:xVal>
            <c:numRef>
              <c:f>'Run 4 Gen 1 + Zeolite 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'Run 4 Gen 1 + Zeolite '!$O$5:$O$17</c:f>
              <c:numCache>
                <c:formatCode>General</c:formatCode>
                <c:ptCount val="13"/>
                <c:pt idx="0">
                  <c:v>99.95</c:v>
                </c:pt>
                <c:pt idx="1">
                  <c:v>99.76</c:v>
                </c:pt>
                <c:pt idx="2">
                  <c:v>99.73</c:v>
                </c:pt>
                <c:pt idx="3">
                  <c:v>99.83</c:v>
                </c:pt>
                <c:pt idx="4">
                  <c:v>99.9</c:v>
                </c:pt>
                <c:pt idx="5">
                  <c:v>99.87</c:v>
                </c:pt>
                <c:pt idx="6">
                  <c:v>99.9</c:v>
                </c:pt>
                <c:pt idx="7">
                  <c:v>99.84</c:v>
                </c:pt>
                <c:pt idx="8">
                  <c:v>99.79</c:v>
                </c:pt>
                <c:pt idx="9">
                  <c:v>99.88</c:v>
                </c:pt>
                <c:pt idx="10">
                  <c:v>99.73</c:v>
                </c:pt>
                <c:pt idx="11">
                  <c:v>99.74</c:v>
                </c:pt>
                <c:pt idx="12">
                  <c:v>99.85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D-4106-AB63-99181BD37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Run 4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4 Gen 1 + Zeolite '!$T$5:$T$17</c:f>
              <c:numCache>
                <c:formatCode>General</c:formatCode>
                <c:ptCount val="13"/>
                <c:pt idx="0">
                  <c:v>1.46</c:v>
                </c:pt>
                <c:pt idx="1">
                  <c:v>0</c:v>
                </c:pt>
                <c:pt idx="2">
                  <c:v>2.7</c:v>
                </c:pt>
                <c:pt idx="3">
                  <c:v>4.18</c:v>
                </c:pt>
                <c:pt idx="4">
                  <c:v>5.39</c:v>
                </c:pt>
                <c:pt idx="5">
                  <c:v>6.72</c:v>
                </c:pt>
                <c:pt idx="6">
                  <c:v>9.02</c:v>
                </c:pt>
                <c:pt idx="7">
                  <c:v>10.199999999999999</c:v>
                </c:pt>
                <c:pt idx="8">
                  <c:v>11.149999999999999</c:v>
                </c:pt>
                <c:pt idx="9">
                  <c:v>11.61</c:v>
                </c:pt>
                <c:pt idx="10">
                  <c:v>12.66</c:v>
                </c:pt>
                <c:pt idx="11">
                  <c:v>14.46</c:v>
                </c:pt>
                <c:pt idx="12">
                  <c:v>15.020000000000001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B35-BBCA-43CE10D4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3158"/>
        <c:axId val="1398771263"/>
      </c:lineChart>
      <c:catAx>
        <c:axId val="12016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98771263"/>
        <c:crosses val="autoZero"/>
        <c:auto val="1"/>
        <c:lblAlgn val="ctr"/>
        <c:lblOffset val="100"/>
        <c:noMultiLvlLbl val="1"/>
      </c:catAx>
      <c:valAx>
        <c:axId val="1398771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CO2 Captured,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0163158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CO2 Recovered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'Run 4 Gen 1 + Zeolite '!$M$5:$M$17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3.0425939999999998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A-4009-BB53-385527706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Co2 Recovery</c:v>
                </c:tx>
                <c:spPr>
                  <a:ln w="28575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'Run 1 Gen 1 '!$AD$7:$AD$36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0.20161057866666754</c:v>
                      </c:pt>
                      <c:pt idx="1">
                        <c:v>0.40322115733333508</c:v>
                      </c:pt>
                      <c:pt idx="2">
                        <c:v>0.88652475733333347</c:v>
                      </c:pt>
                      <c:pt idx="3">
                        <c:v>1.3465247573333334</c:v>
                      </c:pt>
                      <c:pt idx="4">
                        <c:v>1.3465247573333334</c:v>
                      </c:pt>
                      <c:pt idx="5">
                        <c:v>2.7065247573333338</c:v>
                      </c:pt>
                      <c:pt idx="6">
                        <c:v>4.0565247573333334</c:v>
                      </c:pt>
                      <c:pt idx="7">
                        <c:v>5.3965247573333333</c:v>
                      </c:pt>
                      <c:pt idx="8">
                        <c:v>6.0665247573333332</c:v>
                      </c:pt>
                      <c:pt idx="9">
                        <c:v>6.4265247573333335</c:v>
                      </c:pt>
                      <c:pt idx="10">
                        <c:v>7.0465247573333336</c:v>
                      </c:pt>
                      <c:pt idx="11">
                        <c:v>7.7665247573333334</c:v>
                      </c:pt>
                      <c:pt idx="12">
                        <c:v>8.4265247573333326</c:v>
                      </c:pt>
                      <c:pt idx="13">
                        <c:v>9.0665247573333332</c:v>
                      </c:pt>
                      <c:pt idx="14">
                        <c:v>9.7365247573333331</c:v>
                      </c:pt>
                      <c:pt idx="15">
                        <c:v>10.196524757333334</c:v>
                      </c:pt>
                      <c:pt idx="16">
                        <c:v>10.566524757333333</c:v>
                      </c:pt>
                      <c:pt idx="17">
                        <c:v>11.156524757333333</c:v>
                      </c:pt>
                      <c:pt idx="18">
                        <c:v>11.786524757333334</c:v>
                      </c:pt>
                      <c:pt idx="19">
                        <c:v>12.226524757333333</c:v>
                      </c:pt>
                      <c:pt idx="20">
                        <c:v>12.676524757333333</c:v>
                      </c:pt>
                      <c:pt idx="21">
                        <c:v>13.216524757333332</c:v>
                      </c:pt>
                      <c:pt idx="22">
                        <c:v>13.776524757333332</c:v>
                      </c:pt>
                      <c:pt idx="23">
                        <c:v>14.026524757333332</c:v>
                      </c:pt>
                      <c:pt idx="24">
                        <c:v>14.246524757333333</c:v>
                      </c:pt>
                      <c:pt idx="25">
                        <c:v>14.476524757333333</c:v>
                      </c:pt>
                      <c:pt idx="26">
                        <c:v>14.676524757333333</c:v>
                      </c:pt>
                      <c:pt idx="27">
                        <c:v>14.946524757333332</c:v>
                      </c:pt>
                      <c:pt idx="28">
                        <c:v>15.146524757333331</c:v>
                      </c:pt>
                      <c:pt idx="29">
                        <c:v>15.346524757333331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8A-4009-BB53-3855277065B1}"/>
                  </c:ext>
                </c:extLst>
              </c15:ser>
            </c15:filteredLineSeries>
          </c:ext>
        </c:extLst>
      </c:lineChart>
      <c:lineChart>
        <c:grouping val="standard"/>
        <c:varyColors val="1"/>
        <c:ser>
          <c:idx val="2"/>
          <c:order val="2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'Run 4 Gen 1 + Zeolite '!$U$5:$U$17</c:f>
              <c:numCache>
                <c:formatCode>General</c:formatCode>
                <c:ptCount val="13"/>
                <c:pt idx="0">
                  <c:v>15.91</c:v>
                </c:pt>
                <c:pt idx="1">
                  <c:v>0</c:v>
                </c:pt>
                <c:pt idx="2">
                  <c:v>38.85</c:v>
                </c:pt>
                <c:pt idx="3">
                  <c:v>25.13</c:v>
                </c:pt>
                <c:pt idx="4">
                  <c:v>22.56</c:v>
                </c:pt>
                <c:pt idx="5">
                  <c:v>24.75</c:v>
                </c:pt>
                <c:pt idx="6">
                  <c:v>43.03</c:v>
                </c:pt>
                <c:pt idx="7">
                  <c:v>19.5</c:v>
                </c:pt>
                <c:pt idx="8">
                  <c:v>27.84</c:v>
                </c:pt>
                <c:pt idx="9">
                  <c:v>12.38</c:v>
                </c:pt>
                <c:pt idx="10">
                  <c:v>20.32</c:v>
                </c:pt>
                <c:pt idx="11">
                  <c:v>33.67</c:v>
                </c:pt>
                <c:pt idx="12">
                  <c:v>11.59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A-4009-BB53-385527706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7744"/>
        <c:axId val="1615844480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</a:t>
                </a:r>
                <a:r>
                  <a:rPr lang="en-GB" baseline="0"/>
                  <a:t> Recovered,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6158444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Recovery of CO2,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77744"/>
        <c:crosses val="max"/>
        <c:crossBetween val="between"/>
      </c:valAx>
      <c:catAx>
        <c:axId val="3437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8444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4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4 Gen 1 + Zeolite '!$U$5:$U$17</c:f>
              <c:numCache>
                <c:formatCode>General</c:formatCode>
                <c:ptCount val="13"/>
                <c:pt idx="0">
                  <c:v>15.91</c:v>
                </c:pt>
                <c:pt idx="1">
                  <c:v>0</c:v>
                </c:pt>
                <c:pt idx="2">
                  <c:v>38.85</c:v>
                </c:pt>
                <c:pt idx="3">
                  <c:v>25.13</c:v>
                </c:pt>
                <c:pt idx="4">
                  <c:v>22.56</c:v>
                </c:pt>
                <c:pt idx="5">
                  <c:v>24.75</c:v>
                </c:pt>
                <c:pt idx="6">
                  <c:v>43.03</c:v>
                </c:pt>
                <c:pt idx="7">
                  <c:v>19.5</c:v>
                </c:pt>
                <c:pt idx="8">
                  <c:v>27.84</c:v>
                </c:pt>
                <c:pt idx="9">
                  <c:v>12.38</c:v>
                </c:pt>
                <c:pt idx="10">
                  <c:v>20.32</c:v>
                </c:pt>
                <c:pt idx="11">
                  <c:v>33.67</c:v>
                </c:pt>
                <c:pt idx="12">
                  <c:v>11.59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2-4607-86B5-B79DAA5E4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210351"/>
        <c:axId val="1138649703"/>
      </c:lineChart>
      <c:catAx>
        <c:axId val="21821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auto val="1"/>
        <c:lblAlgn val="ctr"/>
        <c:lblOffset val="100"/>
        <c:noMultiLvlLbl val="1"/>
      </c:catAx>
      <c:valAx>
        <c:axId val="1138649703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Daily Recovery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'Run 4 Gen 1 + Zeolite '!$S$5:$S$17</c:f>
              <c:numCache>
                <c:formatCode>General</c:formatCode>
                <c:ptCount val="13"/>
                <c:pt idx="0">
                  <c:v>1.46</c:v>
                </c:pt>
                <c:pt idx="1">
                  <c:v>0</c:v>
                </c:pt>
                <c:pt idx="2">
                  <c:v>1.24</c:v>
                </c:pt>
                <c:pt idx="3">
                  <c:v>1.48</c:v>
                </c:pt>
                <c:pt idx="4">
                  <c:v>1.21</c:v>
                </c:pt>
                <c:pt idx="5">
                  <c:v>1.33</c:v>
                </c:pt>
                <c:pt idx="6">
                  <c:v>2.2999999999999998</c:v>
                </c:pt>
                <c:pt idx="7">
                  <c:v>1.18</c:v>
                </c:pt>
                <c:pt idx="8">
                  <c:v>0.95</c:v>
                </c:pt>
                <c:pt idx="9">
                  <c:v>0.46</c:v>
                </c:pt>
                <c:pt idx="10">
                  <c:v>1.05</c:v>
                </c:pt>
                <c:pt idx="11">
                  <c:v>1.8</c:v>
                </c:pt>
                <c:pt idx="1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5-4D28-9728-BA512D729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217"/>
        <c:axId val="526601337"/>
      </c:lineChart>
      <c:catAx>
        <c:axId val="633555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auto val="1"/>
        <c:lblAlgn val="ctr"/>
        <c:lblOffset val="100"/>
        <c:noMultiLvlLbl val="1"/>
      </c:catAx>
      <c:valAx>
        <c:axId val="526601337"/>
        <c:scaling>
          <c:orientation val="minMax"/>
          <c:max val="2.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between"/>
        <c:majorUnit val="0.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 per Cycle
Run 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2.3172488150619293E-2"/>
                  <c:y val="-0.26157006723200193"/>
                </c:manualLayout>
              </c:layout>
              <c:numFmt formatCode="General" sourceLinked="0"/>
            </c:trendlineLbl>
          </c:trendline>
          <c:val>
            <c:numRef>
              <c:f>'Run 4 Gen 1 + Zeolite '!$C$5:$C$17</c:f>
              <c:numCache>
                <c:formatCode>h:mm</c:formatCode>
                <c:ptCount val="13"/>
                <c:pt idx="0">
                  <c:v>0.23541666666666666</c:v>
                </c:pt>
                <c:pt idx="1">
                  <c:v>0.17291666666666661</c:v>
                </c:pt>
                <c:pt idx="2">
                  <c:v>0.21944444444444444</c:v>
                </c:pt>
                <c:pt idx="3">
                  <c:v>0.19861111111111113</c:v>
                </c:pt>
                <c:pt idx="4">
                  <c:v>0.27430555555555558</c:v>
                </c:pt>
                <c:pt idx="5">
                  <c:v>0.25625000000000003</c:v>
                </c:pt>
                <c:pt idx="6">
                  <c:v>0.15000000000000002</c:v>
                </c:pt>
                <c:pt idx="7">
                  <c:v>0.26805555555555549</c:v>
                </c:pt>
                <c:pt idx="8">
                  <c:v>0.32430555555555557</c:v>
                </c:pt>
                <c:pt idx="9">
                  <c:v>0.22777777777777775</c:v>
                </c:pt>
                <c:pt idx="10">
                  <c:v>0.26319444444444451</c:v>
                </c:pt>
                <c:pt idx="11">
                  <c:v>0.24722222222222223</c:v>
                </c:pt>
                <c:pt idx="12">
                  <c:v>0.23472222222222222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9-4459-93FC-A84B6FC90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667578"/>
        <c:axId val="1045260324"/>
      </c:lineChart>
      <c:catAx>
        <c:axId val="156866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45260324"/>
        <c:crosses val="autoZero"/>
        <c:auto val="1"/>
        <c:lblAlgn val="ctr"/>
        <c:lblOffset val="100"/>
        <c:noMultiLvlLbl val="1"/>
      </c:catAx>
      <c:valAx>
        <c:axId val="1045260324"/>
        <c:scaling>
          <c:orientation val="minMax"/>
          <c:max val="0.3500000000000000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 of Operation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866757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CO₂ Concentration During Adsorption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Flue Gas Inlet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4 Gen 1 + Zeolite '!$F$5:$F$17</c:f>
              <c:numCache>
                <c:formatCode>0.00</c:formatCode>
                <c:ptCount val="13"/>
                <c:pt idx="0">
                  <c:v>13</c:v>
                </c:pt>
                <c:pt idx="1">
                  <c:v>12.507884615384622</c:v>
                </c:pt>
                <c:pt idx="2">
                  <c:v>13.014807692307738</c:v>
                </c:pt>
                <c:pt idx="3">
                  <c:v>12.901093750000015</c:v>
                </c:pt>
                <c:pt idx="4">
                  <c:v>12.3900000000001</c:v>
                </c:pt>
                <c:pt idx="5">
                  <c:v>12.488253968254048</c:v>
                </c:pt>
                <c:pt idx="6">
                  <c:v>12.311355932203433</c:v>
                </c:pt>
                <c:pt idx="7">
                  <c:v>12.578529411764729</c:v>
                </c:pt>
                <c:pt idx="8">
                  <c:v>14.550000000000081</c:v>
                </c:pt>
                <c:pt idx="9">
                  <c:v>11.72543478260865</c:v>
                </c:pt>
                <c:pt idx="10">
                  <c:v>11.517101449275415</c:v>
                </c:pt>
                <c:pt idx="11">
                  <c:v>11.372753623188384</c:v>
                </c:pt>
                <c:pt idx="12">
                  <c:v>11.474920634920689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76-40C4-BF68-FD649BEA362B}"/>
            </c:ext>
          </c:extLst>
        </c:ser>
        <c:ser>
          <c:idx val="1"/>
          <c:order val="1"/>
          <c:tx>
            <c:v>Reactor Effluent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4 Gen 1 + Zeolite '!$J$5:$J$17</c:f>
              <c:numCache>
                <c:formatCode>0.00</c:formatCode>
                <c:ptCount val="13"/>
                <c:pt idx="0">
                  <c:v>1.2636363636363637E-2</c:v>
                </c:pt>
                <c:pt idx="1">
                  <c:v>3.096153846153846E-2</c:v>
                </c:pt>
                <c:pt idx="2">
                  <c:v>3.865384615384615E-2</c:v>
                </c:pt>
                <c:pt idx="3">
                  <c:v>4.0312499999999994E-2</c:v>
                </c:pt>
                <c:pt idx="4">
                  <c:v>2.5576923076923077E-2</c:v>
                </c:pt>
                <c:pt idx="5">
                  <c:v>2.7619047619047619E-2</c:v>
                </c:pt>
                <c:pt idx="6">
                  <c:v>2.1864406779661019E-2</c:v>
                </c:pt>
                <c:pt idx="7">
                  <c:v>3.9705882352941174E-2</c:v>
                </c:pt>
                <c:pt idx="8">
                  <c:v>2.7551020408163263E-2</c:v>
                </c:pt>
                <c:pt idx="9">
                  <c:v>2.2826086956521739E-2</c:v>
                </c:pt>
                <c:pt idx="10">
                  <c:v>5.2608695652173923E-2</c:v>
                </c:pt>
                <c:pt idx="11">
                  <c:v>5.2608695652173923E-2</c:v>
                </c:pt>
                <c:pt idx="12">
                  <c:v>2.8412698412698414E-2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76-40C4-BF68-FD649BEA3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408236"/>
        <c:axId val="1294820600"/>
      </c:lineChart>
      <c:catAx>
        <c:axId val="14354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94820600"/>
        <c:crosses val="autoZero"/>
        <c:auto val="1"/>
        <c:lblAlgn val="ctr"/>
        <c:lblOffset val="100"/>
        <c:noMultiLvlLbl val="1"/>
      </c:catAx>
      <c:valAx>
        <c:axId val="1294820600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Concentration,</a:t>
                </a:r>
                <a:r>
                  <a:rPr lang="en-GB" baseline="0"/>
                  <a:t> vol%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35408236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Recovery Run 4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4 Gen 1 + Zeolite '!$M$5:$M$17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3.0425939999999998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A-4F4C-96FE-39D76C68FD7C}"/>
            </c:ext>
          </c:extLst>
        </c:ser>
        <c:ser>
          <c:idx val="1"/>
          <c:order val="1"/>
          <c:tx>
            <c:v>CO2 Recovery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'Run 4 Gen 1 + Zeolite '!$S$5:$S$17</c:f>
              <c:numCache>
                <c:formatCode>General</c:formatCode>
                <c:ptCount val="13"/>
                <c:pt idx="0">
                  <c:v>1.46</c:v>
                </c:pt>
                <c:pt idx="1">
                  <c:v>0</c:v>
                </c:pt>
                <c:pt idx="2">
                  <c:v>1.24</c:v>
                </c:pt>
                <c:pt idx="3">
                  <c:v>1.48</c:v>
                </c:pt>
                <c:pt idx="4">
                  <c:v>1.21</c:v>
                </c:pt>
                <c:pt idx="5">
                  <c:v>1.33</c:v>
                </c:pt>
                <c:pt idx="6">
                  <c:v>2.2999999999999998</c:v>
                </c:pt>
                <c:pt idx="7">
                  <c:v>1.18</c:v>
                </c:pt>
                <c:pt idx="8">
                  <c:v>0.95</c:v>
                </c:pt>
                <c:pt idx="9">
                  <c:v>0.46</c:v>
                </c:pt>
                <c:pt idx="10">
                  <c:v>1.05</c:v>
                </c:pt>
                <c:pt idx="11">
                  <c:v>1.8</c:v>
                </c:pt>
                <c:pt idx="1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A-4F4C-96FE-39D76C68F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3311"/>
        <c:axId val="186132515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 Captured &amp; Recovery,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Concentration flue gas in Run 4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4 Gen 1 + Zeolite '!$M$5:$M$17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3.0425939999999998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8-4AB6-8561-43A74A5D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33311"/>
        <c:axId val="1861325151"/>
      </c:lineChart>
      <c:lineChart>
        <c:grouping val="standard"/>
        <c:varyColors val="0"/>
        <c:ser>
          <c:idx val="1"/>
          <c:order val="1"/>
          <c:tx>
            <c:v>Conc flue gas in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'Run 4 Gen 1 + Zeolite '!$F$5:$F$17</c:f>
              <c:numCache>
                <c:formatCode>0.00</c:formatCode>
                <c:ptCount val="13"/>
                <c:pt idx="0">
                  <c:v>13</c:v>
                </c:pt>
                <c:pt idx="1">
                  <c:v>12.507884615384622</c:v>
                </c:pt>
                <c:pt idx="2">
                  <c:v>13.014807692307738</c:v>
                </c:pt>
                <c:pt idx="3">
                  <c:v>12.901093750000015</c:v>
                </c:pt>
                <c:pt idx="4">
                  <c:v>12.3900000000001</c:v>
                </c:pt>
                <c:pt idx="5">
                  <c:v>12.488253968254048</c:v>
                </c:pt>
                <c:pt idx="6">
                  <c:v>12.311355932203433</c:v>
                </c:pt>
                <c:pt idx="7">
                  <c:v>12.578529411764729</c:v>
                </c:pt>
                <c:pt idx="8">
                  <c:v>14.550000000000081</c:v>
                </c:pt>
                <c:pt idx="9">
                  <c:v>11.72543478260865</c:v>
                </c:pt>
                <c:pt idx="10">
                  <c:v>11.517101449275415</c:v>
                </c:pt>
                <c:pt idx="11">
                  <c:v>11.372753623188384</c:v>
                </c:pt>
                <c:pt idx="12">
                  <c:v>11.474920634920689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8-4AB6-8561-43A74A5D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47711"/>
        <c:axId val="186133091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valAx>
        <c:axId val="1861330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flue gas inlet,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7711"/>
        <c:crosses val="max"/>
        <c:crossBetween val="between"/>
      </c:valAx>
      <c:catAx>
        <c:axId val="1861347711"/>
        <c:scaling>
          <c:orientation val="minMax"/>
        </c:scaling>
        <c:delete val="1"/>
        <c:axPos val="b"/>
        <c:majorTickMark val="out"/>
        <c:minorTickMark val="none"/>
        <c:tickLblPos val="nextTo"/>
        <c:crossAx val="186133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4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lineChart>
        <c:grouping val="standard"/>
        <c:varyColors val="1"/>
        <c:ser>
          <c:idx val="0"/>
          <c:order val="0"/>
          <c:tx>
            <c:v>Co2 In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4 Gen 1 + Zeolite '!$H$5:$H$17</c:f>
              <c:numCache>
                <c:formatCode>General</c:formatCode>
                <c:ptCount val="13"/>
                <c:pt idx="0">
                  <c:v>9.18</c:v>
                </c:pt>
                <c:pt idx="1">
                  <c:v>3.05</c:v>
                </c:pt>
                <c:pt idx="2">
                  <c:v>3.2</c:v>
                </c:pt>
                <c:pt idx="3">
                  <c:v>5.9</c:v>
                </c:pt>
                <c:pt idx="4">
                  <c:v>5.37</c:v>
                </c:pt>
                <c:pt idx="5">
                  <c:v>5.38</c:v>
                </c:pt>
                <c:pt idx="6">
                  <c:v>5.35</c:v>
                </c:pt>
                <c:pt idx="7">
                  <c:v>6.06</c:v>
                </c:pt>
                <c:pt idx="8">
                  <c:v>3.42</c:v>
                </c:pt>
                <c:pt idx="9">
                  <c:v>3.72</c:v>
                </c:pt>
                <c:pt idx="10">
                  <c:v>5.18</c:v>
                </c:pt>
                <c:pt idx="11">
                  <c:v>5.36</c:v>
                </c:pt>
                <c:pt idx="12">
                  <c:v>4.84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3D-4D5A-92A8-B343AA0E1697}"/>
            </c:ext>
          </c:extLst>
        </c:ser>
        <c:ser>
          <c:idx val="1"/>
          <c:order val="1"/>
          <c:tx>
            <c:v>Co2 Out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4 Gen 1 + Zeolite '!$L$5:$L$17</c:f>
              <c:numCache>
                <c:formatCode>0.000</c:formatCode>
                <c:ptCount val="13"/>
                <c:pt idx="0">
                  <c:v>4.9291927272727279E-3</c:v>
                </c:pt>
                <c:pt idx="1">
                  <c:v>7.4059999999999994E-3</c:v>
                </c:pt>
                <c:pt idx="2">
                  <c:v>8.5821846153846144E-3</c:v>
                </c:pt>
                <c:pt idx="3">
                  <c:v>1.0285599999999997E-2</c:v>
                </c:pt>
                <c:pt idx="4">
                  <c:v>5.6316974358974368E-3</c:v>
                </c:pt>
                <c:pt idx="5">
                  <c:v>7.1908952380952389E-3</c:v>
                </c:pt>
                <c:pt idx="6">
                  <c:v>5.4110033898305092E-3</c:v>
                </c:pt>
                <c:pt idx="7">
                  <c:v>9.8385882352941181E-3</c:v>
                </c:pt>
                <c:pt idx="8">
                  <c:v>7.2407755102040809E-3</c:v>
                </c:pt>
                <c:pt idx="9">
                  <c:v>4.5079999999999999E-3</c:v>
                </c:pt>
                <c:pt idx="10">
                  <c:v>1.3890800000000002E-2</c:v>
                </c:pt>
                <c:pt idx="11">
                  <c:v>1.3890800000000002E-2</c:v>
                </c:pt>
                <c:pt idx="12">
                  <c:v>7.1099936507936527E-3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3D-4D5A-92A8-B343AA0E1697}"/>
            </c:ext>
          </c:extLst>
        </c:ser>
        <c:ser>
          <c:idx val="2"/>
          <c:order val="2"/>
          <c:tx>
            <c:v>Co2 Captured</c:v>
          </c:tx>
          <c:spPr>
            <a:ln w="28575" cmpd="sng">
              <a:solidFill>
                <a:srgbClr val="FFFF00"/>
              </a:solidFill>
              <a:prstDash val="dash"/>
            </a:ln>
          </c:spPr>
          <c:marker>
            <c:symbol val="none"/>
          </c:marker>
          <c:val>
            <c:numRef>
              <c:f>'Run 4 Gen 1 + Zeolite '!$M$5:$M$17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3.0425939999999998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3D-4D5A-92A8-B343AA0E1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42323"/>
        <c:axId val="86163043"/>
      </c:lineChart>
      <c:catAx>
        <c:axId val="116174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auto val="1"/>
        <c:lblAlgn val="ctr"/>
        <c:lblOffset val="100"/>
        <c:noMultiLvlLbl val="1"/>
      </c:catAx>
      <c:valAx>
        <c:axId val="86163043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
Hour Cumulative Run 5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'Run 5 Gen 1+Gen 2.2+ Zeolite'!$D$5:$D$22</c:f>
              <c:numCache>
                <c:formatCode>h:mm</c:formatCode>
                <c:ptCount val="18"/>
                <c:pt idx="0">
                  <c:v>0.22916666666666663</c:v>
                </c:pt>
                <c:pt idx="1">
                  <c:v>0.49999999999999994</c:v>
                </c:pt>
                <c:pt idx="2" formatCode="[h]:mm">
                  <c:v>0.79097222222222219</c:v>
                </c:pt>
                <c:pt idx="3" formatCode="[h]:mm">
                  <c:v>1.15625</c:v>
                </c:pt>
                <c:pt idx="4" formatCode="[h]:mm">
                  <c:v>1.4729166666666667</c:v>
                </c:pt>
                <c:pt idx="5" formatCode="[h]:mm">
                  <c:v>1.7798611111111111</c:v>
                </c:pt>
                <c:pt idx="6" formatCode="[h]:mm">
                  <c:v>2.0958333333333332</c:v>
                </c:pt>
                <c:pt idx="7" formatCode="[h]:mm">
                  <c:v>2.3743055555555554</c:v>
                </c:pt>
                <c:pt idx="8" formatCode="[h]:mm">
                  <c:v>2.6472222222222221</c:v>
                </c:pt>
                <c:pt idx="9" formatCode="[h]:mm">
                  <c:v>2.973611111111111</c:v>
                </c:pt>
                <c:pt idx="10" formatCode="[h]:mm">
                  <c:v>3.2590277777777779</c:v>
                </c:pt>
                <c:pt idx="11" formatCode="[h]:mm">
                  <c:v>3.5666666666666669</c:v>
                </c:pt>
                <c:pt idx="12" formatCode="[h]:mm">
                  <c:v>3.8368055555555558</c:v>
                </c:pt>
                <c:pt idx="13" formatCode="[h]:mm">
                  <c:v>4.1673611111111111</c:v>
                </c:pt>
                <c:pt idx="14" formatCode="[h]:mm">
                  <c:v>4.4486111111111111</c:v>
                </c:pt>
                <c:pt idx="15" formatCode="[h]:mm">
                  <c:v>4.708333333333333</c:v>
                </c:pt>
                <c:pt idx="16" formatCode="[h]:mm">
                  <c:v>8.5284722222222236</c:v>
                </c:pt>
                <c:pt idx="17" formatCode="[h]:mm">
                  <c:v>8.8319444444444457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3-4F26-A2B5-FB2394E8B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367449"/>
        <c:axId val="145826630"/>
      </c:lineChart>
      <c:catAx>
        <c:axId val="102936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auto val="1"/>
        <c:lblAlgn val="ctr"/>
        <c:lblOffset val="100"/>
        <c:noMultiLvlLbl val="1"/>
      </c:catAx>
      <c:valAx>
        <c:axId val="145826630"/>
        <c:scaling>
          <c:orientation val="minMax"/>
          <c:max val="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Captured Run 5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Co2 Captured Run 5 Cumulative</c:v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'Run 5 Gen 1+Gen 2.2+ Zeolite'!$N$5:$N$22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7.2589618869293311</c:v>
                </c:pt>
                <c:pt idx="2">
                  <c:v>9.7040626678817112</c:v>
                </c:pt>
                <c:pt idx="3">
                  <c:v>15.509243620262662</c:v>
                </c:pt>
                <c:pt idx="4">
                  <c:v>17.510199948944834</c:v>
                </c:pt>
                <c:pt idx="5">
                  <c:v>20.410148473082764</c:v>
                </c:pt>
                <c:pt idx="6">
                  <c:v>22.129247867022158</c:v>
                </c:pt>
                <c:pt idx="7">
                  <c:v>24.697076267022158</c:v>
                </c:pt>
                <c:pt idx="8">
                  <c:v>26.243000267022158</c:v>
                </c:pt>
                <c:pt idx="9">
                  <c:v>28.643073067022158</c:v>
                </c:pt>
                <c:pt idx="10">
                  <c:v>30.696071467022158</c:v>
                </c:pt>
                <c:pt idx="11">
                  <c:v>32.525571200355493</c:v>
                </c:pt>
                <c:pt idx="12">
                  <c:v>34.00364800035549</c:v>
                </c:pt>
                <c:pt idx="13">
                  <c:v>36.005248000355493</c:v>
                </c:pt>
                <c:pt idx="14">
                  <c:v>36.724594400355492</c:v>
                </c:pt>
                <c:pt idx="15">
                  <c:v>38.113456267022158</c:v>
                </c:pt>
                <c:pt idx="16">
                  <c:v>38.949717600355491</c:v>
                </c:pt>
                <c:pt idx="17">
                  <c:v>39.874708711466603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F-4A94-A1F6-66DC80E90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72841"/>
        <c:axId val="526947075"/>
      </c:lineChart>
      <c:catAx>
        <c:axId val="19987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auto val="1"/>
        <c:lblAlgn val="ctr"/>
        <c:lblOffset val="100"/>
        <c:noMultiLvlLbl val="1"/>
      </c:cat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between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Run 5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3104604452463369"/>
          <c:y val="1.948503827418232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mpd="sng">
              <a:solidFill>
                <a:srgbClr val="0070C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1.7004474689729786E-2"/>
                  <c:y val="-0.63526791927627002"/>
                </c:manualLayout>
              </c:layout>
              <c:numFmt formatCode="General" sourceLinked="0"/>
            </c:trendlineLbl>
          </c:trendline>
          <c: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F1-4E50-A37B-96DE589A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</c:v>
          </c:tx>
          <c:spPr>
            <a:ln w="25400">
              <a:noFill/>
            </a:ln>
          </c:spPr>
          <c:xVal>
            <c:numRef>
              <c:f>'Run 5 Gen 1+Gen 2.2+ Zeolite'!$B$5:$B$22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'Run 5 Gen 1+Gen 2.2+ Zeolite'!$O$5:$O$22</c:f>
              <c:numCache>
                <c:formatCode>General</c:formatCode>
                <c:ptCount val="18"/>
                <c:pt idx="0">
                  <c:v>99.65</c:v>
                </c:pt>
                <c:pt idx="1">
                  <c:v>99.5</c:v>
                </c:pt>
                <c:pt idx="2">
                  <c:v>99.8</c:v>
                </c:pt>
                <c:pt idx="3">
                  <c:v>99.92</c:v>
                </c:pt>
                <c:pt idx="4">
                  <c:v>99.55</c:v>
                </c:pt>
                <c:pt idx="5">
                  <c:v>99.65</c:v>
                </c:pt>
                <c:pt idx="6">
                  <c:v>99.37</c:v>
                </c:pt>
                <c:pt idx="7">
                  <c:v>99.53</c:v>
                </c:pt>
                <c:pt idx="8">
                  <c:v>99.1</c:v>
                </c:pt>
                <c:pt idx="9">
                  <c:v>99.18</c:v>
                </c:pt>
                <c:pt idx="10">
                  <c:v>99.18</c:v>
                </c:pt>
                <c:pt idx="11">
                  <c:v>99.43</c:v>
                </c:pt>
                <c:pt idx="12">
                  <c:v>99.2</c:v>
                </c:pt>
                <c:pt idx="13">
                  <c:v>99.09</c:v>
                </c:pt>
                <c:pt idx="14">
                  <c:v>98.54</c:v>
                </c:pt>
                <c:pt idx="15">
                  <c:v>99.2</c:v>
                </c:pt>
                <c:pt idx="16">
                  <c:v>98.38</c:v>
                </c:pt>
                <c:pt idx="17">
                  <c:v>99.46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D-4F23-91BC-40C0F5408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Run 5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5 Gen 1+Gen 2.2+ Zeolite'!$T$5:$T$22</c:f>
              <c:numCache>
                <c:formatCode>General</c:formatCode>
                <c:ptCount val="18"/>
                <c:pt idx="0">
                  <c:v>1.1000000000000001</c:v>
                </c:pt>
                <c:pt idx="1">
                  <c:v>1.4500000000000002</c:v>
                </c:pt>
                <c:pt idx="2">
                  <c:v>2.0500000000000003</c:v>
                </c:pt>
                <c:pt idx="3">
                  <c:v>3.37</c:v>
                </c:pt>
                <c:pt idx="4">
                  <c:v>3.97</c:v>
                </c:pt>
                <c:pt idx="5">
                  <c:v>4.67</c:v>
                </c:pt>
                <c:pt idx="6">
                  <c:v>7.17</c:v>
                </c:pt>
                <c:pt idx="7">
                  <c:v>7.67</c:v>
                </c:pt>
                <c:pt idx="8">
                  <c:v>7.71</c:v>
                </c:pt>
                <c:pt idx="9">
                  <c:v>8.5399999999999991</c:v>
                </c:pt>
                <c:pt idx="10">
                  <c:v>9.3899999999999988</c:v>
                </c:pt>
                <c:pt idx="11">
                  <c:v>12.2</c:v>
                </c:pt>
                <c:pt idx="12">
                  <c:v>14.2</c:v>
                </c:pt>
                <c:pt idx="13">
                  <c:v>18.18</c:v>
                </c:pt>
                <c:pt idx="14">
                  <c:v>18.329999999999998</c:v>
                </c:pt>
                <c:pt idx="15">
                  <c:v>18.459999999999997</c:v>
                </c:pt>
                <c:pt idx="16">
                  <c:v>18.649999999999999</c:v>
                </c:pt>
                <c:pt idx="17">
                  <c:v>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0-4C5F-BFE4-CC620EA83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3158"/>
        <c:axId val="1398771263"/>
      </c:lineChart>
      <c:catAx>
        <c:axId val="12016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98771263"/>
        <c:crosses val="autoZero"/>
        <c:auto val="1"/>
        <c:lblAlgn val="ctr"/>
        <c:lblOffset val="100"/>
        <c:noMultiLvlLbl val="1"/>
      </c:catAx>
      <c:valAx>
        <c:axId val="1398771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CO2 Captured,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0163158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CO2 Recovered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2-487A-93FB-48F543097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Co2 Recovery</c:v>
                </c:tx>
                <c:spPr>
                  <a:ln w="28575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'Run 1 Gen 1 '!$AD$7:$AD$36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0.20161057866666754</c:v>
                      </c:pt>
                      <c:pt idx="1">
                        <c:v>0.40322115733333508</c:v>
                      </c:pt>
                      <c:pt idx="2">
                        <c:v>0.88652475733333347</c:v>
                      </c:pt>
                      <c:pt idx="3">
                        <c:v>1.3465247573333334</c:v>
                      </c:pt>
                      <c:pt idx="4">
                        <c:v>1.3465247573333334</c:v>
                      </c:pt>
                      <c:pt idx="5">
                        <c:v>2.7065247573333338</c:v>
                      </c:pt>
                      <c:pt idx="6">
                        <c:v>4.0565247573333334</c:v>
                      </c:pt>
                      <c:pt idx="7">
                        <c:v>5.3965247573333333</c:v>
                      </c:pt>
                      <c:pt idx="8">
                        <c:v>6.0665247573333332</c:v>
                      </c:pt>
                      <c:pt idx="9">
                        <c:v>6.4265247573333335</c:v>
                      </c:pt>
                      <c:pt idx="10">
                        <c:v>7.0465247573333336</c:v>
                      </c:pt>
                      <c:pt idx="11">
                        <c:v>7.7665247573333334</c:v>
                      </c:pt>
                      <c:pt idx="12">
                        <c:v>8.4265247573333326</c:v>
                      </c:pt>
                      <c:pt idx="13">
                        <c:v>9.0665247573333332</c:v>
                      </c:pt>
                      <c:pt idx="14">
                        <c:v>9.7365247573333331</c:v>
                      </c:pt>
                      <c:pt idx="15">
                        <c:v>10.196524757333334</c:v>
                      </c:pt>
                      <c:pt idx="16">
                        <c:v>10.566524757333333</c:v>
                      </c:pt>
                      <c:pt idx="17">
                        <c:v>11.156524757333333</c:v>
                      </c:pt>
                      <c:pt idx="18">
                        <c:v>11.786524757333334</c:v>
                      </c:pt>
                      <c:pt idx="19">
                        <c:v>12.226524757333333</c:v>
                      </c:pt>
                      <c:pt idx="20">
                        <c:v>12.676524757333333</c:v>
                      </c:pt>
                      <c:pt idx="21">
                        <c:v>13.216524757333332</c:v>
                      </c:pt>
                      <c:pt idx="22">
                        <c:v>13.776524757333332</c:v>
                      </c:pt>
                      <c:pt idx="23">
                        <c:v>14.026524757333332</c:v>
                      </c:pt>
                      <c:pt idx="24">
                        <c:v>14.246524757333333</c:v>
                      </c:pt>
                      <c:pt idx="25">
                        <c:v>14.476524757333333</c:v>
                      </c:pt>
                      <c:pt idx="26">
                        <c:v>14.676524757333333</c:v>
                      </c:pt>
                      <c:pt idx="27">
                        <c:v>14.946524757333332</c:v>
                      </c:pt>
                      <c:pt idx="28">
                        <c:v>15.146524757333331</c:v>
                      </c:pt>
                      <c:pt idx="29">
                        <c:v>15.346524757333331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D42-487A-93FB-48F543097E88}"/>
                  </c:ext>
                </c:extLst>
              </c15:ser>
            </c15:filteredLineSeries>
          </c:ext>
        </c:extLst>
      </c:lineChart>
      <c:lineChart>
        <c:grouping val="standard"/>
        <c:varyColors val="1"/>
        <c:ser>
          <c:idx val="2"/>
          <c:order val="2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'Run 5 Gen 1+Gen 2.2+ Zeolite'!$U$5:$U$22</c:f>
              <c:numCache>
                <c:formatCode>General</c:formatCode>
                <c:ptCount val="18"/>
                <c:pt idx="0">
                  <c:v>29.92</c:v>
                </c:pt>
                <c:pt idx="1">
                  <c:v>4.7699999999999996</c:v>
                </c:pt>
                <c:pt idx="2">
                  <c:v>24.54</c:v>
                </c:pt>
                <c:pt idx="3">
                  <c:v>22.74</c:v>
                </c:pt>
                <c:pt idx="4">
                  <c:v>29.99</c:v>
                </c:pt>
                <c:pt idx="5">
                  <c:v>24.14</c:v>
                </c:pt>
                <c:pt idx="6">
                  <c:v>145.41999999999999</c:v>
                </c:pt>
                <c:pt idx="7">
                  <c:v>19.47</c:v>
                </c:pt>
                <c:pt idx="8">
                  <c:v>2.59</c:v>
                </c:pt>
                <c:pt idx="9">
                  <c:v>34.58</c:v>
                </c:pt>
                <c:pt idx="10">
                  <c:v>41.4</c:v>
                </c:pt>
                <c:pt idx="11">
                  <c:v>153.59</c:v>
                </c:pt>
                <c:pt idx="12">
                  <c:v>135.31</c:v>
                </c:pt>
                <c:pt idx="13">
                  <c:v>198.84</c:v>
                </c:pt>
                <c:pt idx="14">
                  <c:v>20.85</c:v>
                </c:pt>
                <c:pt idx="15">
                  <c:v>9.36</c:v>
                </c:pt>
                <c:pt idx="16">
                  <c:v>22.72</c:v>
                </c:pt>
                <c:pt idx="17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2-487A-93FB-48F543097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7744"/>
        <c:axId val="1615844480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</a:t>
                </a:r>
                <a:r>
                  <a:rPr lang="en-GB" baseline="0"/>
                  <a:t> Recovered,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6158444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Recovery of CO2,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77744"/>
        <c:crosses val="max"/>
        <c:crossBetween val="between"/>
      </c:valAx>
      <c:catAx>
        <c:axId val="3437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8444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5 Gen 1+Gen 2.2+ Zeolite'!$U$5:$U$22</c:f>
              <c:numCache>
                <c:formatCode>General</c:formatCode>
                <c:ptCount val="18"/>
                <c:pt idx="0">
                  <c:v>29.92</c:v>
                </c:pt>
                <c:pt idx="1">
                  <c:v>4.7699999999999996</c:v>
                </c:pt>
                <c:pt idx="2">
                  <c:v>24.54</c:v>
                </c:pt>
                <c:pt idx="3">
                  <c:v>22.74</c:v>
                </c:pt>
                <c:pt idx="4">
                  <c:v>29.99</c:v>
                </c:pt>
                <c:pt idx="5">
                  <c:v>24.14</c:v>
                </c:pt>
                <c:pt idx="6">
                  <c:v>145.41999999999999</c:v>
                </c:pt>
                <c:pt idx="7">
                  <c:v>19.47</c:v>
                </c:pt>
                <c:pt idx="8">
                  <c:v>2.59</c:v>
                </c:pt>
                <c:pt idx="9">
                  <c:v>34.58</c:v>
                </c:pt>
                <c:pt idx="10">
                  <c:v>41.4</c:v>
                </c:pt>
                <c:pt idx="11">
                  <c:v>153.59</c:v>
                </c:pt>
                <c:pt idx="12">
                  <c:v>135.31</c:v>
                </c:pt>
                <c:pt idx="13">
                  <c:v>198.84</c:v>
                </c:pt>
                <c:pt idx="14">
                  <c:v>20.85</c:v>
                </c:pt>
                <c:pt idx="15">
                  <c:v>9.36</c:v>
                </c:pt>
                <c:pt idx="16">
                  <c:v>22.72</c:v>
                </c:pt>
                <c:pt idx="17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F-4CB6-BA81-C714F6F15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210351"/>
        <c:axId val="1138649703"/>
      </c:lineChart>
      <c:catAx>
        <c:axId val="21821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auto val="1"/>
        <c:lblAlgn val="ctr"/>
        <c:lblOffset val="100"/>
        <c:noMultiLvlLbl val="1"/>
      </c:catAx>
      <c:valAx>
        <c:axId val="1138649703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Daily Recovery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'Run 5 Gen 1+Gen 2.2+ Zeolite'!$S$5:$S$22</c:f>
              <c:numCache>
                <c:formatCode>General</c:formatCode>
                <c:ptCount val="18"/>
                <c:pt idx="0">
                  <c:v>1.1000000000000001</c:v>
                </c:pt>
                <c:pt idx="1">
                  <c:v>0.35</c:v>
                </c:pt>
                <c:pt idx="2">
                  <c:v>0.6</c:v>
                </c:pt>
                <c:pt idx="3">
                  <c:v>1.32</c:v>
                </c:pt>
                <c:pt idx="4">
                  <c:v>0.6</c:v>
                </c:pt>
                <c:pt idx="5">
                  <c:v>0.7</c:v>
                </c:pt>
                <c:pt idx="6">
                  <c:v>2.5</c:v>
                </c:pt>
                <c:pt idx="7">
                  <c:v>0.5</c:v>
                </c:pt>
                <c:pt idx="8">
                  <c:v>0.04</c:v>
                </c:pt>
                <c:pt idx="9">
                  <c:v>0.83</c:v>
                </c:pt>
                <c:pt idx="10">
                  <c:v>0.85</c:v>
                </c:pt>
                <c:pt idx="11">
                  <c:v>2.81</c:v>
                </c:pt>
                <c:pt idx="12">
                  <c:v>2</c:v>
                </c:pt>
                <c:pt idx="13">
                  <c:v>3.98</c:v>
                </c:pt>
                <c:pt idx="14">
                  <c:v>0.15</c:v>
                </c:pt>
                <c:pt idx="15">
                  <c:v>0.13</c:v>
                </c:pt>
                <c:pt idx="16">
                  <c:v>0.19</c:v>
                </c:pt>
                <c:pt idx="17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4-4AAC-B73E-4D63D396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217"/>
        <c:axId val="526601337"/>
      </c:lineChart>
      <c:catAx>
        <c:axId val="633555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auto val="1"/>
        <c:lblAlgn val="ctr"/>
        <c:lblOffset val="100"/>
        <c:noMultiLvlLbl val="1"/>
      </c:catAx>
      <c:valAx>
        <c:axId val="526601337"/>
        <c:scaling>
          <c:orientation val="minMax"/>
          <c:max val="2.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between"/>
        <c:majorUnit val="0.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 per Cycle
Run 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2.3442872439079693E-2"/>
                  <c:y val="-0.24835503538711357"/>
                </c:manualLayout>
              </c:layout>
              <c:numFmt formatCode="General" sourceLinked="0"/>
            </c:trendlineLbl>
          </c:trendline>
          <c:val>
            <c:numRef>
              <c:f>'Run 5 Gen 1+Gen 2.2+ Zeolite'!$C$5:$C$22</c:f>
              <c:numCache>
                <c:formatCode>h:mm</c:formatCode>
                <c:ptCount val="18"/>
                <c:pt idx="0">
                  <c:v>0.22916666666666663</c:v>
                </c:pt>
                <c:pt idx="1">
                  <c:v>0.27083333333333331</c:v>
                </c:pt>
                <c:pt idx="2">
                  <c:v>0.29097222222222224</c:v>
                </c:pt>
                <c:pt idx="3">
                  <c:v>0.3652777777777777</c:v>
                </c:pt>
                <c:pt idx="4">
                  <c:v>0.31666666666666665</c:v>
                </c:pt>
                <c:pt idx="5">
                  <c:v>0.30694444444444446</c:v>
                </c:pt>
                <c:pt idx="6">
                  <c:v>0.31597222222222227</c:v>
                </c:pt>
                <c:pt idx="7">
                  <c:v>0.27847222222222223</c:v>
                </c:pt>
                <c:pt idx="8">
                  <c:v>0.2729166666666667</c:v>
                </c:pt>
                <c:pt idx="9">
                  <c:v>0.3263888888888889</c:v>
                </c:pt>
                <c:pt idx="10">
                  <c:v>0.28541666666666671</c:v>
                </c:pt>
                <c:pt idx="11">
                  <c:v>0.30763888888888885</c:v>
                </c:pt>
                <c:pt idx="12">
                  <c:v>0.27013888888888887</c:v>
                </c:pt>
                <c:pt idx="13">
                  <c:v>0.33055555555555555</c:v>
                </c:pt>
                <c:pt idx="14">
                  <c:v>0.28124999999999994</c:v>
                </c:pt>
                <c:pt idx="15">
                  <c:v>0.25972222222222219</c:v>
                </c:pt>
                <c:pt idx="16">
                  <c:v>0.22638888888888892</c:v>
                </c:pt>
                <c:pt idx="17">
                  <c:v>0.30347222222222225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E1-4776-AF42-39C361F7A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667578"/>
        <c:axId val="1045260324"/>
      </c:lineChart>
      <c:catAx>
        <c:axId val="156866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45260324"/>
        <c:crosses val="autoZero"/>
        <c:auto val="1"/>
        <c:lblAlgn val="ctr"/>
        <c:lblOffset val="100"/>
        <c:noMultiLvlLbl val="1"/>
      </c:catAx>
      <c:valAx>
        <c:axId val="1045260324"/>
        <c:scaling>
          <c:orientation val="minMax"/>
          <c:max val="0.3700000000000000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 of Operation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866757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CO₂ Concentration During Adsorption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Flue Gas Inlet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5 Gen 1+Gen 2.2+ Zeolite'!$F$5:$F$22</c:f>
              <c:numCache>
                <c:formatCode>0.00</c:formatCode>
                <c:ptCount val="18"/>
                <c:pt idx="0">
                  <c:v>11.772439024390208</c:v>
                </c:pt>
                <c:pt idx="1">
                  <c:v>11.000961538461512</c:v>
                </c:pt>
                <c:pt idx="2">
                  <c:v>10.969047619047599</c:v>
                </c:pt>
                <c:pt idx="3">
                  <c:v>19.261904761904766</c:v>
                </c:pt>
                <c:pt idx="4">
                  <c:v>11.988837209302313</c:v>
                </c:pt>
                <c:pt idx="5">
                  <c:v>13.65172413793103</c:v>
                </c:pt>
                <c:pt idx="6">
                  <c:v>14.334999999999948</c:v>
                </c:pt>
                <c:pt idx="7">
                  <c:v>14.148076923076914</c:v>
                </c:pt>
                <c:pt idx="8">
                  <c:v>13.433749999999996</c:v>
                </c:pt>
                <c:pt idx="9">
                  <c:v>14.001304347826096</c:v>
                </c:pt>
                <c:pt idx="10">
                  <c:v>13.953000000000008</c:v>
                </c:pt>
                <c:pt idx="11">
                  <c:v>14</c:v>
                </c:pt>
                <c:pt idx="12">
                  <c:v>14.093333333333327</c:v>
                </c:pt>
                <c:pt idx="13">
                  <c:v>11.583913043478271</c:v>
                </c:pt>
                <c:pt idx="14">
                  <c:v>13.692307692307704</c:v>
                </c:pt>
                <c:pt idx="15">
                  <c:v>13.799999999999972</c:v>
                </c:pt>
                <c:pt idx="16">
                  <c:v>13.878571428571409</c:v>
                </c:pt>
                <c:pt idx="17" formatCode="General">
                  <c:v>12.099999999999993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6D-4CCC-AF58-1F5CAC119FAF}"/>
            </c:ext>
          </c:extLst>
        </c:ser>
        <c:ser>
          <c:idx val="1"/>
          <c:order val="1"/>
          <c:tx>
            <c:v>Reactor Effluent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5 Gen 1+Gen 2.2+ Zeolite'!$J$5:$J$22</c:f>
              <c:numCache>
                <c:formatCode>0.00</c:formatCode>
                <c:ptCount val="18"/>
                <c:pt idx="0">
                  <c:v>7.170731707317074E-2</c:v>
                </c:pt>
                <c:pt idx="1">
                  <c:v>7.8269230769230758E-2</c:v>
                </c:pt>
                <c:pt idx="2">
                  <c:v>2.5238095238095243E-2</c:v>
                </c:pt>
                <c:pt idx="3">
                  <c:v>2.3809523809523808E-2</c:v>
                </c:pt>
                <c:pt idx="4">
                  <c:v>5.6279069767441861E-2</c:v>
                </c:pt>
                <c:pt idx="5">
                  <c:v>9.2068965517241391E-2</c:v>
                </c:pt>
                <c:pt idx="6">
                  <c:v>0.10454545454545454</c:v>
                </c:pt>
                <c:pt idx="7">
                  <c:v>0.105</c:v>
                </c:pt>
                <c:pt idx="8">
                  <c:v>0.12749999999999997</c:v>
                </c:pt>
                <c:pt idx="9">
                  <c:v>0.15695652173913049</c:v>
                </c:pt>
                <c:pt idx="10">
                  <c:v>0.154</c:v>
                </c:pt>
                <c:pt idx="11">
                  <c:v>0.12588235294117647</c:v>
                </c:pt>
                <c:pt idx="12">
                  <c:v>0.14399999999999996</c:v>
                </c:pt>
                <c:pt idx="13">
                  <c:v>0.16304347826086948</c:v>
                </c:pt>
                <c:pt idx="14">
                  <c:v>0.14846153846153845</c:v>
                </c:pt>
                <c:pt idx="15">
                  <c:v>0.11947368421052629</c:v>
                </c:pt>
                <c:pt idx="16">
                  <c:v>0.2</c:v>
                </c:pt>
                <c:pt idx="17">
                  <c:v>6.4814814814814811E-2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6D-4CCC-AF58-1F5CAC119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408236"/>
        <c:axId val="1294820600"/>
      </c:lineChart>
      <c:catAx>
        <c:axId val="14354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94820600"/>
        <c:crosses val="autoZero"/>
        <c:auto val="1"/>
        <c:lblAlgn val="ctr"/>
        <c:lblOffset val="100"/>
        <c:noMultiLvlLbl val="1"/>
      </c:catAx>
      <c:valAx>
        <c:axId val="1294820600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Concentration,</a:t>
                </a:r>
                <a:r>
                  <a:rPr lang="en-GB" baseline="0"/>
                  <a:t> vol%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35408236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Recovery Run 5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B-4EEE-9388-D7326C8B1000}"/>
            </c:ext>
          </c:extLst>
        </c:ser>
        <c:ser>
          <c:idx val="1"/>
          <c:order val="1"/>
          <c:tx>
            <c:v>CO2 Recovery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'Run 5 Gen 1+Gen 2.2+ Zeolite'!$S$5:$S$22</c:f>
              <c:numCache>
                <c:formatCode>General</c:formatCode>
                <c:ptCount val="18"/>
                <c:pt idx="0">
                  <c:v>1.1000000000000001</c:v>
                </c:pt>
                <c:pt idx="1">
                  <c:v>0.35</c:v>
                </c:pt>
                <c:pt idx="2">
                  <c:v>0.6</c:v>
                </c:pt>
                <c:pt idx="3">
                  <c:v>1.32</c:v>
                </c:pt>
                <c:pt idx="4">
                  <c:v>0.6</c:v>
                </c:pt>
                <c:pt idx="5">
                  <c:v>0.7</c:v>
                </c:pt>
                <c:pt idx="6">
                  <c:v>2.5</c:v>
                </c:pt>
                <c:pt idx="7">
                  <c:v>0.5</c:v>
                </c:pt>
                <c:pt idx="8">
                  <c:v>0.04</c:v>
                </c:pt>
                <c:pt idx="9">
                  <c:v>0.83</c:v>
                </c:pt>
                <c:pt idx="10">
                  <c:v>0.85</c:v>
                </c:pt>
                <c:pt idx="11">
                  <c:v>2.81</c:v>
                </c:pt>
                <c:pt idx="12">
                  <c:v>2</c:v>
                </c:pt>
                <c:pt idx="13">
                  <c:v>3.98</c:v>
                </c:pt>
                <c:pt idx="14">
                  <c:v>0.15</c:v>
                </c:pt>
                <c:pt idx="15">
                  <c:v>0.13</c:v>
                </c:pt>
                <c:pt idx="16">
                  <c:v>0.19</c:v>
                </c:pt>
                <c:pt idx="17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B-4EEE-9388-D7326C8B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3311"/>
        <c:axId val="186132515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 Captured &amp; Recovery,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Concentration flue gas in Run 5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D-4837-B45D-E21C7956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33311"/>
        <c:axId val="1861325151"/>
      </c:lineChart>
      <c:lineChart>
        <c:grouping val="standard"/>
        <c:varyColors val="0"/>
        <c:ser>
          <c:idx val="1"/>
          <c:order val="1"/>
          <c:tx>
            <c:v>Conc flue gas in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'Run 5 Gen 1+Gen 2.2+ Zeolite'!$F$5:$F$22</c:f>
              <c:numCache>
                <c:formatCode>0.00</c:formatCode>
                <c:ptCount val="18"/>
                <c:pt idx="0">
                  <c:v>11.772439024390208</c:v>
                </c:pt>
                <c:pt idx="1">
                  <c:v>11.000961538461512</c:v>
                </c:pt>
                <c:pt idx="2">
                  <c:v>10.969047619047599</c:v>
                </c:pt>
                <c:pt idx="3">
                  <c:v>19.261904761904766</c:v>
                </c:pt>
                <c:pt idx="4">
                  <c:v>11.988837209302313</c:v>
                </c:pt>
                <c:pt idx="5">
                  <c:v>13.65172413793103</c:v>
                </c:pt>
                <c:pt idx="6">
                  <c:v>14.334999999999948</c:v>
                </c:pt>
                <c:pt idx="7">
                  <c:v>14.148076923076914</c:v>
                </c:pt>
                <c:pt idx="8">
                  <c:v>13.433749999999996</c:v>
                </c:pt>
                <c:pt idx="9">
                  <c:v>14.001304347826096</c:v>
                </c:pt>
                <c:pt idx="10">
                  <c:v>13.953000000000008</c:v>
                </c:pt>
                <c:pt idx="11">
                  <c:v>14</c:v>
                </c:pt>
                <c:pt idx="12">
                  <c:v>14.093333333333327</c:v>
                </c:pt>
                <c:pt idx="13">
                  <c:v>11.583913043478271</c:v>
                </c:pt>
                <c:pt idx="14">
                  <c:v>13.692307692307704</c:v>
                </c:pt>
                <c:pt idx="15">
                  <c:v>13.799999999999972</c:v>
                </c:pt>
                <c:pt idx="16">
                  <c:v>13.878571428571409</c:v>
                </c:pt>
                <c:pt idx="17" formatCode="General">
                  <c:v>12.099999999999993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D-4837-B45D-E21C7956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47711"/>
        <c:axId val="186133091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valAx>
        <c:axId val="1861330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flue gas inlet,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7711"/>
        <c:crosses val="max"/>
        <c:crossBetween val="between"/>
      </c:valAx>
      <c:catAx>
        <c:axId val="1861347711"/>
        <c:scaling>
          <c:orientation val="minMax"/>
        </c:scaling>
        <c:delete val="1"/>
        <c:axPos val="b"/>
        <c:majorTickMark val="out"/>
        <c:minorTickMark val="none"/>
        <c:tickLblPos val="nextTo"/>
        <c:crossAx val="186133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lineChart>
        <c:grouping val="standard"/>
        <c:varyColors val="1"/>
        <c:ser>
          <c:idx val="0"/>
          <c:order val="0"/>
          <c:tx>
            <c:v>Co2 In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5 Gen 1+Gen 2.2+ Zeolite'!$H$5:$H$22</c:f>
              <c:numCache>
                <c:formatCode>General</c:formatCode>
                <c:ptCount val="18"/>
                <c:pt idx="0">
                  <c:v>3.69</c:v>
                </c:pt>
                <c:pt idx="1">
                  <c:v>3.6</c:v>
                </c:pt>
                <c:pt idx="2">
                  <c:v>2.4500000000000002</c:v>
                </c:pt>
                <c:pt idx="3">
                  <c:v>5.81</c:v>
                </c:pt>
                <c:pt idx="4">
                  <c:v>2.0099999999999998</c:v>
                </c:pt>
                <c:pt idx="5">
                  <c:v>2.91</c:v>
                </c:pt>
                <c:pt idx="6">
                  <c:v>1.73</c:v>
                </c:pt>
                <c:pt idx="7">
                  <c:v>2.58</c:v>
                </c:pt>
                <c:pt idx="8">
                  <c:v>1.56</c:v>
                </c:pt>
                <c:pt idx="9">
                  <c:v>2.42</c:v>
                </c:pt>
                <c:pt idx="10">
                  <c:v>2.0699999999999998</c:v>
                </c:pt>
                <c:pt idx="11">
                  <c:v>1.84</c:v>
                </c:pt>
                <c:pt idx="12">
                  <c:v>1.49</c:v>
                </c:pt>
                <c:pt idx="13">
                  <c:v>2.02</c:v>
                </c:pt>
                <c:pt idx="14">
                  <c:v>0.73</c:v>
                </c:pt>
                <c:pt idx="15">
                  <c:v>1.4</c:v>
                </c:pt>
                <c:pt idx="16">
                  <c:v>0.85</c:v>
                </c:pt>
                <c:pt idx="17">
                  <c:v>0.93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9C-42AB-8CB1-4183A13B2829}"/>
            </c:ext>
          </c:extLst>
        </c:ser>
        <c:ser>
          <c:idx val="1"/>
          <c:order val="1"/>
          <c:tx>
            <c:v>Co2 Out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5 Gen 1+Gen 2.2+ Zeolite'!$L$5:$L$22</c:f>
              <c:numCache>
                <c:formatCode>0.000</c:formatCode>
                <c:ptCount val="18"/>
                <c:pt idx="0">
                  <c:v>1.3084195121951222E-2</c:v>
                </c:pt>
                <c:pt idx="1">
                  <c:v>1.7953917948717948E-2</c:v>
                </c:pt>
                <c:pt idx="2">
                  <c:v>4.8992190476190491E-3</c:v>
                </c:pt>
                <c:pt idx="3">
                  <c:v>4.8190476190476186E-3</c:v>
                </c:pt>
                <c:pt idx="4">
                  <c:v>9.0436713178294586E-3</c:v>
                </c:pt>
                <c:pt idx="5">
                  <c:v>1.0051475862068969E-2</c:v>
                </c:pt>
                <c:pt idx="6">
                  <c:v>1.090060606060606E-2</c:v>
                </c:pt>
                <c:pt idx="7">
                  <c:v>1.2171600000000001E-2</c:v>
                </c:pt>
                <c:pt idx="8">
                  <c:v>1.4076E-2</c:v>
                </c:pt>
                <c:pt idx="9">
                  <c:v>1.9927200000000009E-2</c:v>
                </c:pt>
                <c:pt idx="10">
                  <c:v>1.7001599999999999E-2</c:v>
                </c:pt>
                <c:pt idx="11">
                  <c:v>1.0500266666666667E-2</c:v>
                </c:pt>
                <c:pt idx="12">
                  <c:v>1.1923199999999997E-2</c:v>
                </c:pt>
                <c:pt idx="13">
                  <c:v>1.8399999999999996E-2</c:v>
                </c:pt>
                <c:pt idx="14">
                  <c:v>1.0653600000000001E-2</c:v>
                </c:pt>
                <c:pt idx="15">
                  <c:v>1.1138133333333331E-2</c:v>
                </c:pt>
                <c:pt idx="16">
                  <c:v>1.3738666666666668E-2</c:v>
                </c:pt>
                <c:pt idx="17">
                  <c:v>5.0088888888888882E-3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9C-42AB-8CB1-4183A13B2829}"/>
            </c:ext>
          </c:extLst>
        </c:ser>
        <c:ser>
          <c:idx val="2"/>
          <c:order val="2"/>
          <c:tx>
            <c:v>Co2 Captured</c:v>
          </c:tx>
          <c:spPr>
            <a:ln w="28575" cmpd="sng">
              <a:solidFill>
                <a:srgbClr val="FFFF00"/>
              </a:solidFill>
              <a:prstDash val="dash"/>
            </a:ln>
          </c:spPr>
          <c:marker>
            <c:symbol val="none"/>
          </c:marker>
          <c: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E9C-42AB-8CB1-4183A13B2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42323"/>
        <c:axId val="86163043"/>
      </c:lineChart>
      <c:catAx>
        <c:axId val="116174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auto val="1"/>
        <c:lblAlgn val="ctr"/>
        <c:lblOffset val="100"/>
        <c:noMultiLvlLbl val="1"/>
      </c:catAx>
      <c:valAx>
        <c:axId val="86163043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Operating Hours Cumulative Run 3</c:v>
          </c:tx>
          <c:spPr>
            <a:ln w="28575" cmpd="sng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5'!$D$5:$D$7</c:f>
              <c:numCache>
                <c:formatCode>h:mm</c:formatCode>
                <c:ptCount val="3"/>
                <c:pt idx="0">
                  <c:v>0.2048611111111111</c:v>
                </c:pt>
                <c:pt idx="1">
                  <c:v>0.33888888888888885</c:v>
                </c:pt>
                <c:pt idx="2" formatCode="[h]:mm">
                  <c:v>0.5215277777777777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64-4C56-9DF0-235BE701415F}"/>
            </c:ext>
          </c:extLst>
        </c:ser>
        <c:ser>
          <c:idx val="1"/>
          <c:order val="1"/>
          <c:tx>
            <c:v>Operating Hours Cumulative Run 4</c:v>
          </c:tx>
          <c:spPr>
            <a:ln>
              <a:solidFill>
                <a:srgbClr val="FF3399"/>
              </a:solidFill>
            </a:ln>
          </c:spPr>
          <c:marker>
            <c:symbol val="none"/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5'!$D$8:$D$20</c:f>
              <c:numCache>
                <c:formatCode>[h]:mm</c:formatCode>
                <c:ptCount val="13"/>
                <c:pt idx="0">
                  <c:v>0.75694444444444442</c:v>
                </c:pt>
                <c:pt idx="1">
                  <c:v>0.92986111111111103</c:v>
                </c:pt>
                <c:pt idx="2">
                  <c:v>1.1493055555555554</c:v>
                </c:pt>
                <c:pt idx="3">
                  <c:v>1.3479166666666664</c:v>
                </c:pt>
                <c:pt idx="4">
                  <c:v>1.622222222222222</c:v>
                </c:pt>
                <c:pt idx="5">
                  <c:v>1.8784722222222221</c:v>
                </c:pt>
                <c:pt idx="6">
                  <c:v>2.0284722222222222</c:v>
                </c:pt>
                <c:pt idx="7">
                  <c:v>2.2965277777777775</c:v>
                </c:pt>
                <c:pt idx="8">
                  <c:v>2.6208333333333331</c:v>
                </c:pt>
                <c:pt idx="9">
                  <c:v>2.848611111111111</c:v>
                </c:pt>
                <c:pt idx="10">
                  <c:v>3.1118055555555557</c:v>
                </c:pt>
                <c:pt idx="11">
                  <c:v>3.3590277777777779</c:v>
                </c:pt>
                <c:pt idx="12">
                  <c:v>3.59375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D6-401F-BA01-92ED0ACE4B9A}"/>
            </c:ext>
          </c:extLst>
        </c:ser>
        <c:ser>
          <c:idx val="2"/>
          <c:order val="2"/>
          <c:tx>
            <c:v>Operating Hours Cumulative Run 5</c:v>
          </c:tx>
          <c:spPr>
            <a:ln>
              <a:solidFill>
                <a:srgbClr val="993300"/>
              </a:solidFill>
            </a:ln>
          </c:spPr>
          <c:marker>
            <c:symbol val="none"/>
          </c:marker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5'!$D$21:$D$38</c:f>
              <c:numCache>
                <c:formatCode>[h]:mm</c:formatCode>
                <c:ptCount val="18"/>
                <c:pt idx="0">
                  <c:v>3.8229166666666665</c:v>
                </c:pt>
                <c:pt idx="1">
                  <c:v>4.09375</c:v>
                </c:pt>
                <c:pt idx="2">
                  <c:v>4.384722222222222</c:v>
                </c:pt>
                <c:pt idx="3">
                  <c:v>4.75</c:v>
                </c:pt>
                <c:pt idx="4">
                  <c:v>5.0666666666666664</c:v>
                </c:pt>
                <c:pt idx="5">
                  <c:v>5.3736111111111109</c:v>
                </c:pt>
                <c:pt idx="6">
                  <c:v>5.6895833333333332</c:v>
                </c:pt>
                <c:pt idx="7">
                  <c:v>5.968055555555555</c:v>
                </c:pt>
                <c:pt idx="8">
                  <c:v>6.2409722222222221</c:v>
                </c:pt>
                <c:pt idx="9">
                  <c:v>6.5673611111111114</c:v>
                </c:pt>
                <c:pt idx="10">
                  <c:v>6.8527777777777779</c:v>
                </c:pt>
                <c:pt idx="11">
                  <c:v>7.1604166666666664</c:v>
                </c:pt>
                <c:pt idx="12">
                  <c:v>7.4305555555555554</c:v>
                </c:pt>
                <c:pt idx="13">
                  <c:v>7.7611111111111111</c:v>
                </c:pt>
                <c:pt idx="14">
                  <c:v>8.0423611111111111</c:v>
                </c:pt>
                <c:pt idx="15">
                  <c:v>8.3020833333333339</c:v>
                </c:pt>
                <c:pt idx="16">
                  <c:v>8.5284722222222236</c:v>
                </c:pt>
                <c:pt idx="17">
                  <c:v>8.8319444444444457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D6-401F-BA01-92ED0ACE4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367449"/>
        <c:axId val="145826630"/>
      </c:scatterChart>
      <c:valAx>
        <c:axId val="1029367449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crossBetween val="midCat"/>
        <c:majorUnit val="1"/>
      </c:valAx>
      <c:valAx>
        <c:axId val="145826630"/>
        <c:scaling>
          <c:orientation val="minMax"/>
          <c:max val="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midCat"/>
        <c:majorUnit val="1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Captured Run 3, 4, and 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 Cumulative (Kg)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Co2 Captured Run 3 Cumulative</c:v>
          </c:tx>
          <c:spPr>
            <a:ln cmpd="sng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5'!$N$5:$N$7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4.9565592514619876</c:v>
                </c:pt>
                <c:pt idx="2">
                  <c:v>5.8627361403508766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3E-45FC-99F9-95415B307C9F}"/>
            </c:ext>
          </c:extLst>
        </c:ser>
        <c:ser>
          <c:idx val="1"/>
          <c:order val="1"/>
          <c:tx>
            <c:v>Co2 Captured Run 4 Cumulative</c:v>
          </c:tx>
          <c:spPr>
            <a:ln>
              <a:solidFill>
                <a:srgbClr val="FF3399"/>
              </a:solidFill>
            </a:ln>
          </c:spPr>
          <c:marker>
            <c:symbol val="none"/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5'!$N$8:$N$20</c:f>
              <c:numCache>
                <c:formatCode>0.00</c:formatCode>
                <c:ptCount val="13"/>
                <c:pt idx="0">
                  <c:v>15.037806947623604</c:v>
                </c:pt>
                <c:pt idx="1">
                  <c:v>17.040400947623603</c:v>
                </c:pt>
                <c:pt idx="2">
                  <c:v>20.231818763008217</c:v>
                </c:pt>
                <c:pt idx="3">
                  <c:v>26.121533163008216</c:v>
                </c:pt>
                <c:pt idx="4">
                  <c:v>31.485901465572319</c:v>
                </c:pt>
                <c:pt idx="5">
                  <c:v>36.858710570334225</c:v>
                </c:pt>
                <c:pt idx="6">
                  <c:v>42.203299566944395</c:v>
                </c:pt>
                <c:pt idx="7">
                  <c:v>48.2534609787091</c:v>
                </c:pt>
                <c:pt idx="8">
                  <c:v>51.666220203198897</c:v>
                </c:pt>
                <c:pt idx="9">
                  <c:v>55.381712203198894</c:v>
                </c:pt>
                <c:pt idx="10">
                  <c:v>60.547821403198895</c:v>
                </c:pt>
                <c:pt idx="11">
                  <c:v>65.893930603198896</c:v>
                </c:pt>
                <c:pt idx="12">
                  <c:v>70.726820609548099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86-46BF-93A6-FAE95F8C0BF1}"/>
            </c:ext>
          </c:extLst>
        </c:ser>
        <c:ser>
          <c:idx val="2"/>
          <c:order val="2"/>
          <c:tx>
            <c:v>Co2 Captured Run 5 Cumulative</c:v>
          </c:tx>
          <c:spPr>
            <a:ln>
              <a:solidFill>
                <a:srgbClr val="993300"/>
              </a:solidFill>
            </a:ln>
          </c:spPr>
          <c:marker>
            <c:symbol val="none"/>
          </c:marker>
          <c:xVal>
            <c:numRef>
              <c:f>'Run 3, 4, and 5'!$B$20:$B$38</c:f>
              <c:numCache>
                <c:formatCode>General</c:formatCode>
                <c:ptCount val="19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</c:numCache>
            </c:numRef>
          </c:xVal>
          <c:yVal>
            <c:numRef>
              <c:f>'Run 3, 4, and 5'!$N$21:$N$38</c:f>
              <c:numCache>
                <c:formatCode>0.00</c:formatCode>
                <c:ptCount val="18"/>
                <c:pt idx="0">
                  <c:v>74.403736414426149</c:v>
                </c:pt>
                <c:pt idx="1">
                  <c:v>77.985782496477427</c:v>
                </c:pt>
                <c:pt idx="2">
                  <c:v>80.430883277429814</c:v>
                </c:pt>
                <c:pt idx="3">
                  <c:v>86.236064229810765</c:v>
                </c:pt>
                <c:pt idx="4">
                  <c:v>88.387020558492935</c:v>
                </c:pt>
                <c:pt idx="5">
                  <c:v>91.286969082630861</c:v>
                </c:pt>
                <c:pt idx="6">
                  <c:v>93.006068476570249</c:v>
                </c:pt>
                <c:pt idx="7">
                  <c:v>95.573896876570245</c:v>
                </c:pt>
                <c:pt idx="8">
                  <c:v>97.119820876570245</c:v>
                </c:pt>
                <c:pt idx="9">
                  <c:v>99.519893676570248</c:v>
                </c:pt>
                <c:pt idx="10">
                  <c:v>101.57289207657024</c:v>
                </c:pt>
                <c:pt idx="11">
                  <c:v>103.40239180990358</c:v>
                </c:pt>
                <c:pt idx="12">
                  <c:v>104.88046860990357</c:v>
                </c:pt>
                <c:pt idx="13">
                  <c:v>106.88206860990357</c:v>
                </c:pt>
                <c:pt idx="14">
                  <c:v>107.60141500990358</c:v>
                </c:pt>
                <c:pt idx="15">
                  <c:v>108.99027687657025</c:v>
                </c:pt>
                <c:pt idx="16">
                  <c:v>109.82653820990359</c:v>
                </c:pt>
                <c:pt idx="17">
                  <c:v>110.7515293210147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86-46BF-93A6-FAE95F8C0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72841"/>
        <c:axId val="526947075"/>
      </c:scatterChart>
      <c:valAx>
        <c:axId val="199872841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crossBetween val="midCat"/>
        <c:majorUnit val="1"/>
      </c:val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midCat"/>
        <c:majorUnit val="50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9234360872662588"/>
          <c:y val="2.2100931487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Sorbent Aging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14307669190487229"/>
                  <c:y val="-0.17314140303508804"/>
                </c:manualLayout>
              </c:layout>
              <c:numFmt formatCode="General" sourceLinked="0"/>
            </c:trendlineLbl>
          </c:trendline>
          <c:val>
            <c:numRef>
              <c:f>'Run 3, 4, and 5'!$M$5:$M$38</c:f>
              <c:numCache>
                <c:formatCode>0.00</c:formatCode>
                <c:ptCount val="34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  <c:pt idx="3">
                  <c:v>9.1750708072727267</c:v>
                </c:pt>
                <c:pt idx="4">
                  <c:v>2.0025939999999998</c:v>
                </c:pt>
                <c:pt idx="5">
                  <c:v>3.1914178153846158</c:v>
                </c:pt>
                <c:pt idx="6">
                  <c:v>5.8897144000000008</c:v>
                </c:pt>
                <c:pt idx="7">
                  <c:v>5.3643683025641025</c:v>
                </c:pt>
                <c:pt idx="8">
                  <c:v>5.3728091047619051</c:v>
                </c:pt>
                <c:pt idx="9">
                  <c:v>5.3445889966101694</c:v>
                </c:pt>
                <c:pt idx="10">
                  <c:v>6.0501614117647051</c:v>
                </c:pt>
                <c:pt idx="11">
                  <c:v>3.412759224489796</c:v>
                </c:pt>
                <c:pt idx="12">
                  <c:v>3.7154920000000002</c:v>
                </c:pt>
                <c:pt idx="13">
                  <c:v>5.1661091999999993</c:v>
                </c:pt>
                <c:pt idx="14">
                  <c:v>5.3461091999999999</c:v>
                </c:pt>
                <c:pt idx="15">
                  <c:v>4.8328900063492064</c:v>
                </c:pt>
                <c:pt idx="16">
                  <c:v>3.6769158048780488</c:v>
                </c:pt>
                <c:pt idx="17">
                  <c:v>3.5820460820512823</c:v>
                </c:pt>
                <c:pt idx="18">
                  <c:v>2.445100780952381</c:v>
                </c:pt>
                <c:pt idx="19">
                  <c:v>5.8051809523809519</c:v>
                </c:pt>
                <c:pt idx="20">
                  <c:v>2.1509563286821707</c:v>
                </c:pt>
                <c:pt idx="21">
                  <c:v>2.899948524137931</c:v>
                </c:pt>
                <c:pt idx="22">
                  <c:v>1.7190993939393939</c:v>
                </c:pt>
                <c:pt idx="23">
                  <c:v>2.5678284000000002</c:v>
                </c:pt>
                <c:pt idx="24">
                  <c:v>1.5459240000000001</c:v>
                </c:pt>
                <c:pt idx="25">
                  <c:v>2.4000727999999998</c:v>
                </c:pt>
                <c:pt idx="26">
                  <c:v>2.0529983999999999</c:v>
                </c:pt>
                <c:pt idx="27">
                  <c:v>1.8294997333333334</c:v>
                </c:pt>
                <c:pt idx="28">
                  <c:v>1.4780768</c:v>
                </c:pt>
                <c:pt idx="29">
                  <c:v>2.0015999999999998</c:v>
                </c:pt>
                <c:pt idx="30">
                  <c:v>0.71934639999999994</c:v>
                </c:pt>
                <c:pt idx="31">
                  <c:v>1.3888618666666666</c:v>
                </c:pt>
                <c:pt idx="32">
                  <c:v>0.8362613333333333</c:v>
                </c:pt>
                <c:pt idx="33">
                  <c:v>0.92499111111111121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47-45CC-B322-4D0FC0098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 Run 3</c:v>
          </c:tx>
          <c:spPr>
            <a:ln w="25400">
              <a:noFill/>
            </a:ln>
          </c:spPr>
          <c:marker>
            <c:spPr>
              <a:solidFill>
                <a:srgbClr val="00B0F0"/>
              </a:solidFill>
            </c:spPr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5'!$O$5:$O$7</c:f>
              <c:numCache>
                <c:formatCode>General</c:formatCode>
                <c:ptCount val="3"/>
                <c:pt idx="0">
                  <c:v>99.82</c:v>
                </c:pt>
                <c:pt idx="1">
                  <c:v>95.16</c:v>
                </c:pt>
                <c:pt idx="2">
                  <c:v>99.58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8-426B-A375-CD46DDB40166}"/>
            </c:ext>
          </c:extLst>
        </c:ser>
        <c:ser>
          <c:idx val="1"/>
          <c:order val="1"/>
          <c:tx>
            <c:v>% Captured Efficiency Run 4</c:v>
          </c:tx>
          <c:spPr>
            <a:ln w="19050">
              <a:noFill/>
            </a:ln>
          </c:spPr>
          <c:marker>
            <c:spPr>
              <a:solidFill>
                <a:srgbClr val="FF3399"/>
              </a:solidFill>
            </c:spPr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5'!$O$8:$O$20</c:f>
              <c:numCache>
                <c:formatCode>General</c:formatCode>
                <c:ptCount val="13"/>
                <c:pt idx="0">
                  <c:v>99.95</c:v>
                </c:pt>
                <c:pt idx="1">
                  <c:v>99.63</c:v>
                </c:pt>
                <c:pt idx="2">
                  <c:v>99.73</c:v>
                </c:pt>
                <c:pt idx="3">
                  <c:v>99.83</c:v>
                </c:pt>
                <c:pt idx="4">
                  <c:v>99.9</c:v>
                </c:pt>
                <c:pt idx="5">
                  <c:v>99.87</c:v>
                </c:pt>
                <c:pt idx="6">
                  <c:v>99.9</c:v>
                </c:pt>
                <c:pt idx="7">
                  <c:v>99.84</c:v>
                </c:pt>
                <c:pt idx="8">
                  <c:v>99.79</c:v>
                </c:pt>
                <c:pt idx="9">
                  <c:v>99.88</c:v>
                </c:pt>
                <c:pt idx="10">
                  <c:v>99.73</c:v>
                </c:pt>
                <c:pt idx="11">
                  <c:v>99.74</c:v>
                </c:pt>
                <c:pt idx="12">
                  <c:v>99.85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D-4348-BE13-67E21F16C0BC}"/>
            </c:ext>
          </c:extLst>
        </c:ser>
        <c:ser>
          <c:idx val="2"/>
          <c:order val="2"/>
          <c:tx>
            <c:v>% Captured Efficiency Run 5</c:v>
          </c:tx>
          <c:spPr>
            <a:ln w="19050">
              <a:noFill/>
            </a:ln>
          </c:spPr>
          <c:marker>
            <c:spPr>
              <a:solidFill>
                <a:srgbClr val="993300"/>
              </a:solidFill>
            </c:spPr>
          </c:marker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5'!$O$21:$O$38</c:f>
              <c:numCache>
                <c:formatCode>General</c:formatCode>
                <c:ptCount val="18"/>
                <c:pt idx="0">
                  <c:v>99.65</c:v>
                </c:pt>
                <c:pt idx="1">
                  <c:v>99.5</c:v>
                </c:pt>
                <c:pt idx="2">
                  <c:v>99.8</c:v>
                </c:pt>
                <c:pt idx="3">
                  <c:v>99.92</c:v>
                </c:pt>
                <c:pt idx="4">
                  <c:v>99.58</c:v>
                </c:pt>
                <c:pt idx="5">
                  <c:v>99.65</c:v>
                </c:pt>
                <c:pt idx="6">
                  <c:v>99.37</c:v>
                </c:pt>
                <c:pt idx="7">
                  <c:v>99.53</c:v>
                </c:pt>
                <c:pt idx="8">
                  <c:v>99.1</c:v>
                </c:pt>
                <c:pt idx="9">
                  <c:v>99.18</c:v>
                </c:pt>
                <c:pt idx="10">
                  <c:v>99.18</c:v>
                </c:pt>
                <c:pt idx="11">
                  <c:v>99.43</c:v>
                </c:pt>
                <c:pt idx="12">
                  <c:v>99.2</c:v>
                </c:pt>
                <c:pt idx="13">
                  <c:v>99.09</c:v>
                </c:pt>
                <c:pt idx="14">
                  <c:v>98.54</c:v>
                </c:pt>
                <c:pt idx="15">
                  <c:v>99.2</c:v>
                </c:pt>
                <c:pt idx="16">
                  <c:v>98.38</c:v>
                </c:pt>
                <c:pt idx="17">
                  <c:v>99.46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4D-4348-BE13-67E21F16C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  <c:majorUnit val="1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% Recovery Run 3</c:v>
          </c:tx>
          <c:spPr>
            <a:ln w="28575" cmpd="sng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5'!$U$5:$U$7</c:f>
              <c:numCache>
                <c:formatCode>General</c:formatCode>
                <c:ptCount val="3"/>
                <c:pt idx="0">
                  <c:v>14</c:v>
                </c:pt>
                <c:pt idx="1">
                  <c:v>4.7699999999999996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34-48A7-B6CD-944B93403F9A}"/>
            </c:ext>
          </c:extLst>
        </c:ser>
        <c:ser>
          <c:idx val="1"/>
          <c:order val="1"/>
          <c:tx>
            <c:v>% Recovery Run 4</c:v>
          </c:tx>
          <c:spPr>
            <a:ln>
              <a:solidFill>
                <a:srgbClr val="FF3399"/>
              </a:solidFill>
            </a:ln>
          </c:spPr>
          <c:marker>
            <c:symbol val="none"/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5'!$U$8:$U$20</c:f>
              <c:numCache>
                <c:formatCode>General</c:formatCode>
                <c:ptCount val="13"/>
                <c:pt idx="0">
                  <c:v>15.91</c:v>
                </c:pt>
                <c:pt idx="1">
                  <c:v>0</c:v>
                </c:pt>
                <c:pt idx="2">
                  <c:v>38.85</c:v>
                </c:pt>
                <c:pt idx="3">
                  <c:v>25.13</c:v>
                </c:pt>
                <c:pt idx="4">
                  <c:v>22.56</c:v>
                </c:pt>
                <c:pt idx="5">
                  <c:v>24.75</c:v>
                </c:pt>
                <c:pt idx="6">
                  <c:v>43.03</c:v>
                </c:pt>
                <c:pt idx="7">
                  <c:v>19.5</c:v>
                </c:pt>
                <c:pt idx="8">
                  <c:v>27.84</c:v>
                </c:pt>
                <c:pt idx="9">
                  <c:v>12.38</c:v>
                </c:pt>
                <c:pt idx="10">
                  <c:v>20.32</c:v>
                </c:pt>
                <c:pt idx="11">
                  <c:v>33.67</c:v>
                </c:pt>
                <c:pt idx="12">
                  <c:v>11.59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8C-42AD-9387-8DC453C7888F}"/>
            </c:ext>
          </c:extLst>
        </c:ser>
        <c:ser>
          <c:idx val="2"/>
          <c:order val="2"/>
          <c:tx>
            <c:v>% Recovery Run 5</c:v>
          </c:tx>
          <c:spPr>
            <a:ln>
              <a:solidFill>
                <a:srgbClr val="993300"/>
              </a:solidFill>
            </a:ln>
          </c:spPr>
          <c:marker>
            <c:symbol val="none"/>
          </c:marker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5'!$U$21:$U$38</c:f>
              <c:numCache>
                <c:formatCode>General</c:formatCode>
                <c:ptCount val="18"/>
                <c:pt idx="0">
                  <c:v>29.92</c:v>
                </c:pt>
                <c:pt idx="1">
                  <c:v>9.77</c:v>
                </c:pt>
                <c:pt idx="2">
                  <c:v>24.54</c:v>
                </c:pt>
                <c:pt idx="3">
                  <c:v>22.74</c:v>
                </c:pt>
                <c:pt idx="4">
                  <c:v>27.89</c:v>
                </c:pt>
                <c:pt idx="5">
                  <c:v>24.14</c:v>
                </c:pt>
                <c:pt idx="6">
                  <c:v>145.41999999999999</c:v>
                </c:pt>
                <c:pt idx="7">
                  <c:v>19.47</c:v>
                </c:pt>
                <c:pt idx="8">
                  <c:v>2.59</c:v>
                </c:pt>
                <c:pt idx="9">
                  <c:v>34.58</c:v>
                </c:pt>
                <c:pt idx="10">
                  <c:v>41.4</c:v>
                </c:pt>
                <c:pt idx="11">
                  <c:v>153.59</c:v>
                </c:pt>
                <c:pt idx="12">
                  <c:v>135.31</c:v>
                </c:pt>
                <c:pt idx="13">
                  <c:v>198.84</c:v>
                </c:pt>
                <c:pt idx="14">
                  <c:v>20.85</c:v>
                </c:pt>
                <c:pt idx="15">
                  <c:v>9.36</c:v>
                </c:pt>
                <c:pt idx="16">
                  <c:v>22.72</c:v>
                </c:pt>
                <c:pt idx="17">
                  <c:v>1.08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8C-42AD-9387-8DC453C78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210351"/>
        <c:axId val="1138649703"/>
      </c:scatterChart>
      <c:valAx>
        <c:axId val="218210351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crossBetween val="midCat"/>
        <c:majorUnit val="1"/>
      </c:valAx>
      <c:valAx>
        <c:axId val="1138649703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Co2 Daily Recovery Run 3</c:v>
          </c:tx>
          <c:spPr>
            <a:ln w="28575" cmpd="sng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5'!$S$5:$S$7</c:f>
              <c:numCache>
                <c:formatCode>General</c:formatCode>
                <c:ptCount val="3"/>
                <c:pt idx="0">
                  <c:v>0.51</c:v>
                </c:pt>
                <c:pt idx="1">
                  <c:v>0.65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1-4367-AA0D-066CED57AD6B}"/>
            </c:ext>
          </c:extLst>
        </c:ser>
        <c:ser>
          <c:idx val="1"/>
          <c:order val="1"/>
          <c:tx>
            <c:v>Co2 Daily Recovery Run 4</c:v>
          </c:tx>
          <c:spPr>
            <a:ln>
              <a:solidFill>
                <a:srgbClr val="FF3399"/>
              </a:solidFill>
            </a:ln>
          </c:spPr>
          <c:marker>
            <c:symbol val="none"/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5'!$S$8:$S$20</c:f>
              <c:numCache>
                <c:formatCode>General</c:formatCode>
                <c:ptCount val="13"/>
                <c:pt idx="0">
                  <c:v>1.46</c:v>
                </c:pt>
                <c:pt idx="1">
                  <c:v>0</c:v>
                </c:pt>
                <c:pt idx="2">
                  <c:v>1.24</c:v>
                </c:pt>
                <c:pt idx="3">
                  <c:v>1.48</c:v>
                </c:pt>
                <c:pt idx="4">
                  <c:v>1.21</c:v>
                </c:pt>
                <c:pt idx="5">
                  <c:v>1.33</c:v>
                </c:pt>
                <c:pt idx="6">
                  <c:v>2.2999999999999998</c:v>
                </c:pt>
                <c:pt idx="7">
                  <c:v>1.18</c:v>
                </c:pt>
                <c:pt idx="8">
                  <c:v>0.95</c:v>
                </c:pt>
                <c:pt idx="9">
                  <c:v>0.46</c:v>
                </c:pt>
                <c:pt idx="10">
                  <c:v>1.05</c:v>
                </c:pt>
                <c:pt idx="11">
                  <c:v>1.8</c:v>
                </c:pt>
                <c:pt idx="12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7F-44F9-A0D8-2D0668797987}"/>
            </c:ext>
          </c:extLst>
        </c:ser>
        <c:ser>
          <c:idx val="2"/>
          <c:order val="2"/>
          <c:tx>
            <c:v>Co2 Daily Recovery Run 5</c:v>
          </c:tx>
          <c:spPr>
            <a:ln>
              <a:solidFill>
                <a:srgbClr val="993300"/>
              </a:solidFill>
            </a:ln>
          </c:spPr>
          <c:marker>
            <c:symbol val="none"/>
          </c:marker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5'!$S$21:$S$38</c:f>
              <c:numCache>
                <c:formatCode>General</c:formatCode>
                <c:ptCount val="18"/>
                <c:pt idx="0">
                  <c:v>1.1000000000000001</c:v>
                </c:pt>
                <c:pt idx="1">
                  <c:v>0.35</c:v>
                </c:pt>
                <c:pt idx="2">
                  <c:v>0.6</c:v>
                </c:pt>
                <c:pt idx="3">
                  <c:v>1.32</c:v>
                </c:pt>
                <c:pt idx="4">
                  <c:v>0.6</c:v>
                </c:pt>
                <c:pt idx="5">
                  <c:v>0.7</c:v>
                </c:pt>
                <c:pt idx="6">
                  <c:v>2.5</c:v>
                </c:pt>
                <c:pt idx="7">
                  <c:v>0.5</c:v>
                </c:pt>
                <c:pt idx="8">
                  <c:v>0.04</c:v>
                </c:pt>
                <c:pt idx="9">
                  <c:v>0.83</c:v>
                </c:pt>
                <c:pt idx="10">
                  <c:v>0.85</c:v>
                </c:pt>
                <c:pt idx="11">
                  <c:v>2.81</c:v>
                </c:pt>
                <c:pt idx="12">
                  <c:v>2</c:v>
                </c:pt>
                <c:pt idx="13">
                  <c:v>3.98</c:v>
                </c:pt>
                <c:pt idx="14">
                  <c:v>0.15</c:v>
                </c:pt>
                <c:pt idx="15">
                  <c:v>0.13</c:v>
                </c:pt>
                <c:pt idx="16">
                  <c:v>0.19</c:v>
                </c:pt>
                <c:pt idx="17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7F-44F9-A0D8-2D0668797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555217"/>
        <c:axId val="526601337"/>
      </c:scatterChart>
      <c:valAx>
        <c:axId val="633555217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crossBetween val="midCat"/>
        <c:majorUnit val="1"/>
      </c:valAx>
      <c:valAx>
        <c:axId val="526601337"/>
        <c:scaling>
          <c:orientation val="minMax"/>
          <c:max val="4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midCat"/>
        <c:majorUnit val="0.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</a:t>
            </a:r>
            <a:r>
              <a:rPr lang="en-GB" sz="1400" b="1" i="0" baseline="-25000">
                <a:solidFill>
                  <a:sysClr val="windowText" lastClr="000000"/>
                </a:solidFill>
                <a:latin typeface="+mn-lt"/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scatterChart>
        <c:scatterStyle val="smoothMarker"/>
        <c:varyColors val="1"/>
        <c:ser>
          <c:idx val="0"/>
          <c:order val="0"/>
          <c:tx>
            <c:v>CO2 In Run 3</c:v>
          </c:tx>
          <c:spPr>
            <a:ln w="28575" cmpd="sng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5'!$H$5:$H$7</c:f>
              <c:numCache>
                <c:formatCode>General</c:formatCode>
                <c:ptCount val="3"/>
                <c:pt idx="0">
                  <c:v>3.65</c:v>
                </c:pt>
                <c:pt idx="1">
                  <c:v>1.38</c:v>
                </c:pt>
                <c:pt idx="2">
                  <c:v>0.91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4-4664-ACDC-7AB112A41CC9}"/>
            </c:ext>
          </c:extLst>
        </c:ser>
        <c:ser>
          <c:idx val="1"/>
          <c:order val="1"/>
          <c:tx>
            <c:v>CO2 Out Run 3</c:v>
          </c:tx>
          <c:spPr>
            <a:ln w="76200" cmpd="sng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5'!$L$5:$L$7</c:f>
              <c:numCache>
                <c:formatCode>0.000</c:formatCode>
                <c:ptCount val="3"/>
                <c:pt idx="0">
                  <c:v>6.6078596491228074E-3</c:v>
                </c:pt>
                <c:pt idx="1">
                  <c:v>6.6832888888888886E-2</c:v>
                </c:pt>
                <c:pt idx="2">
                  <c:v>3.8231111111111122E-3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94-4664-ACDC-7AB112A41CC9}"/>
            </c:ext>
          </c:extLst>
        </c:ser>
        <c:ser>
          <c:idx val="2"/>
          <c:order val="2"/>
          <c:tx>
            <c:v>CO2 Captured Run 3</c:v>
          </c:tx>
          <c:spPr>
            <a:ln w="31750" cmpd="sng">
              <a:solidFill>
                <a:srgbClr val="080808"/>
              </a:solidFill>
              <a:prstDash val="dash"/>
            </a:ln>
          </c:spPr>
          <c:marker>
            <c:symbol val="none"/>
          </c:marker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94-4664-ACDC-7AB112A41CC9}"/>
            </c:ext>
          </c:extLst>
        </c:ser>
        <c:ser>
          <c:idx val="3"/>
          <c:order val="3"/>
          <c:tx>
            <c:v>CO2 In Run 4</c:v>
          </c:tx>
          <c:spPr>
            <a:ln>
              <a:solidFill>
                <a:srgbClr val="FF3399"/>
              </a:solidFill>
            </a:ln>
          </c:spPr>
          <c:marker>
            <c:symbol val="none"/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5'!$H$8:$H$20</c:f>
              <c:numCache>
                <c:formatCode>General</c:formatCode>
                <c:ptCount val="13"/>
                <c:pt idx="0">
                  <c:v>9.18</c:v>
                </c:pt>
                <c:pt idx="1">
                  <c:v>2.0099999999999998</c:v>
                </c:pt>
                <c:pt idx="2">
                  <c:v>3.2</c:v>
                </c:pt>
                <c:pt idx="3">
                  <c:v>5.9</c:v>
                </c:pt>
                <c:pt idx="4">
                  <c:v>5.37</c:v>
                </c:pt>
                <c:pt idx="5">
                  <c:v>5.38</c:v>
                </c:pt>
                <c:pt idx="6">
                  <c:v>5.35</c:v>
                </c:pt>
                <c:pt idx="7">
                  <c:v>6.06</c:v>
                </c:pt>
                <c:pt idx="8">
                  <c:v>3.42</c:v>
                </c:pt>
                <c:pt idx="9">
                  <c:v>3.72</c:v>
                </c:pt>
                <c:pt idx="10">
                  <c:v>5.18</c:v>
                </c:pt>
                <c:pt idx="11">
                  <c:v>5.36</c:v>
                </c:pt>
                <c:pt idx="12">
                  <c:v>4.84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E9-4256-B365-2FED279606AD}"/>
            </c:ext>
          </c:extLst>
        </c:ser>
        <c:ser>
          <c:idx val="4"/>
          <c:order val="4"/>
          <c:tx>
            <c:v>CO2 Out Run 4</c:v>
          </c:tx>
          <c:spPr>
            <a:ln w="762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5'!$L$8:$L$20</c:f>
              <c:numCache>
                <c:formatCode>0.000</c:formatCode>
                <c:ptCount val="13"/>
                <c:pt idx="0">
                  <c:v>4.9291927272727279E-3</c:v>
                </c:pt>
                <c:pt idx="1">
                  <c:v>7.4059999999999994E-3</c:v>
                </c:pt>
                <c:pt idx="2">
                  <c:v>8.5821846153846144E-3</c:v>
                </c:pt>
                <c:pt idx="3">
                  <c:v>1.0285599999999997E-2</c:v>
                </c:pt>
                <c:pt idx="4">
                  <c:v>5.6316974358974368E-3</c:v>
                </c:pt>
                <c:pt idx="5">
                  <c:v>7.1908952380952389E-3</c:v>
                </c:pt>
                <c:pt idx="6">
                  <c:v>5.4110033898305092E-3</c:v>
                </c:pt>
                <c:pt idx="7">
                  <c:v>9.8385882352941181E-3</c:v>
                </c:pt>
                <c:pt idx="8">
                  <c:v>7.2407755102040809E-3</c:v>
                </c:pt>
                <c:pt idx="9">
                  <c:v>4.5079999999999999E-3</c:v>
                </c:pt>
                <c:pt idx="10">
                  <c:v>1.3890800000000002E-2</c:v>
                </c:pt>
                <c:pt idx="11">
                  <c:v>1.3890800000000002E-2</c:v>
                </c:pt>
                <c:pt idx="12">
                  <c:v>7.1099936507936527E-3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E9-4256-B365-2FED279606AD}"/>
            </c:ext>
          </c:extLst>
        </c:ser>
        <c:ser>
          <c:idx val="5"/>
          <c:order val="5"/>
          <c:tx>
            <c:v>CO2 Captured Run 4</c:v>
          </c:tx>
          <c:spPr>
            <a:ln w="317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5'!$M$8:$M$20</c:f>
              <c:numCache>
                <c:formatCode>0.00</c:formatCode>
                <c:ptCount val="13"/>
                <c:pt idx="0">
                  <c:v>9.1750708072727267</c:v>
                </c:pt>
                <c:pt idx="1">
                  <c:v>2.0025939999999998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E9-4256-B365-2FED279606AD}"/>
            </c:ext>
          </c:extLst>
        </c:ser>
        <c:ser>
          <c:idx val="6"/>
          <c:order val="6"/>
          <c:tx>
            <c:v>CO2 In Run 5</c:v>
          </c:tx>
          <c:spPr>
            <a:ln>
              <a:solidFill>
                <a:srgbClr val="993300"/>
              </a:solidFill>
            </a:ln>
          </c:spPr>
          <c:marker>
            <c:symbol val="none"/>
          </c:marker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5'!$H$21:$H$38</c:f>
              <c:numCache>
                <c:formatCode>General</c:formatCode>
                <c:ptCount val="18"/>
                <c:pt idx="0">
                  <c:v>3.69</c:v>
                </c:pt>
                <c:pt idx="1">
                  <c:v>3.6</c:v>
                </c:pt>
                <c:pt idx="2">
                  <c:v>2.4500000000000002</c:v>
                </c:pt>
                <c:pt idx="3">
                  <c:v>5.81</c:v>
                </c:pt>
                <c:pt idx="4">
                  <c:v>2.16</c:v>
                </c:pt>
                <c:pt idx="5">
                  <c:v>2.91</c:v>
                </c:pt>
                <c:pt idx="6">
                  <c:v>1.73</c:v>
                </c:pt>
                <c:pt idx="7">
                  <c:v>2.58</c:v>
                </c:pt>
                <c:pt idx="8">
                  <c:v>1.56</c:v>
                </c:pt>
                <c:pt idx="9">
                  <c:v>2.42</c:v>
                </c:pt>
                <c:pt idx="10">
                  <c:v>2.0699999999999998</c:v>
                </c:pt>
                <c:pt idx="11">
                  <c:v>1.84</c:v>
                </c:pt>
                <c:pt idx="12">
                  <c:v>1.49</c:v>
                </c:pt>
                <c:pt idx="13">
                  <c:v>2.02</c:v>
                </c:pt>
                <c:pt idx="14">
                  <c:v>0.73</c:v>
                </c:pt>
                <c:pt idx="15">
                  <c:v>1.4</c:v>
                </c:pt>
                <c:pt idx="16">
                  <c:v>0.85</c:v>
                </c:pt>
                <c:pt idx="17">
                  <c:v>0.93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E9-4256-B365-2FED279606AD}"/>
            </c:ext>
          </c:extLst>
        </c:ser>
        <c:ser>
          <c:idx val="7"/>
          <c:order val="7"/>
          <c:tx>
            <c:v>CO2 Out Run 5</c:v>
          </c:tx>
          <c:spPr>
            <a:ln w="762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5'!$L$21:$L$38</c:f>
              <c:numCache>
                <c:formatCode>0.000</c:formatCode>
                <c:ptCount val="18"/>
                <c:pt idx="0">
                  <c:v>1.3084195121951222E-2</c:v>
                </c:pt>
                <c:pt idx="1">
                  <c:v>1.7953917948717948E-2</c:v>
                </c:pt>
                <c:pt idx="2">
                  <c:v>4.8992190476190491E-3</c:v>
                </c:pt>
                <c:pt idx="3">
                  <c:v>4.8190476190476186E-3</c:v>
                </c:pt>
                <c:pt idx="4">
                  <c:v>9.0436713178294586E-3</c:v>
                </c:pt>
                <c:pt idx="5">
                  <c:v>1.0051475862068969E-2</c:v>
                </c:pt>
                <c:pt idx="6">
                  <c:v>1.090060606060606E-2</c:v>
                </c:pt>
                <c:pt idx="7">
                  <c:v>1.2171600000000001E-2</c:v>
                </c:pt>
                <c:pt idx="8">
                  <c:v>1.4076E-2</c:v>
                </c:pt>
                <c:pt idx="9">
                  <c:v>1.9927200000000009E-2</c:v>
                </c:pt>
                <c:pt idx="10">
                  <c:v>1.7001599999999999E-2</c:v>
                </c:pt>
                <c:pt idx="11">
                  <c:v>1.0500266666666667E-2</c:v>
                </c:pt>
                <c:pt idx="12">
                  <c:v>1.1923199999999997E-2</c:v>
                </c:pt>
                <c:pt idx="13">
                  <c:v>1.8399999999999996E-2</c:v>
                </c:pt>
                <c:pt idx="14">
                  <c:v>1.0653600000000001E-2</c:v>
                </c:pt>
                <c:pt idx="15">
                  <c:v>1.1138133333333331E-2</c:v>
                </c:pt>
                <c:pt idx="16">
                  <c:v>1.3738666666666668E-2</c:v>
                </c:pt>
                <c:pt idx="17">
                  <c:v>5.0088888888888882E-3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E9-4256-B365-2FED279606AD}"/>
            </c:ext>
          </c:extLst>
        </c:ser>
        <c:ser>
          <c:idx val="8"/>
          <c:order val="8"/>
          <c:tx>
            <c:v>CO2 Captured Run 5</c:v>
          </c:tx>
          <c:spPr>
            <a:ln w="381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5'!$M$21:$M$38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2.1509563286821707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E9-4256-B365-2FED27960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742323"/>
        <c:axId val="86163043"/>
      </c:scatterChart>
      <c:valAx>
        <c:axId val="1161742323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crossBetween val="midCat"/>
        <c:majorUnit val="1"/>
      </c:valAx>
      <c:valAx>
        <c:axId val="86163043"/>
        <c:scaling>
          <c:orientation val="minMax"/>
          <c:max val="1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midCat"/>
        <c:maj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3,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4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0"/>
          <c:tx>
            <c:v>CO2 Capture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'Run 3, 4, and 5'!$M$5:$M$38</c:f>
              <c:numCache>
                <c:formatCode>0.00</c:formatCode>
                <c:ptCount val="34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  <c:pt idx="3">
                  <c:v>9.1750708072727267</c:v>
                </c:pt>
                <c:pt idx="4">
                  <c:v>2.0025939999999998</c:v>
                </c:pt>
                <c:pt idx="5">
                  <c:v>3.1914178153846158</c:v>
                </c:pt>
                <c:pt idx="6">
                  <c:v>5.8897144000000008</c:v>
                </c:pt>
                <c:pt idx="7">
                  <c:v>5.3643683025641025</c:v>
                </c:pt>
                <c:pt idx="8">
                  <c:v>5.3728091047619051</c:v>
                </c:pt>
                <c:pt idx="9">
                  <c:v>5.3445889966101694</c:v>
                </c:pt>
                <c:pt idx="10">
                  <c:v>6.0501614117647051</c:v>
                </c:pt>
                <c:pt idx="11">
                  <c:v>3.412759224489796</c:v>
                </c:pt>
                <c:pt idx="12">
                  <c:v>3.7154920000000002</c:v>
                </c:pt>
                <c:pt idx="13">
                  <c:v>5.1661091999999993</c:v>
                </c:pt>
                <c:pt idx="14">
                  <c:v>5.3461091999999999</c:v>
                </c:pt>
                <c:pt idx="15">
                  <c:v>4.8328900063492064</c:v>
                </c:pt>
                <c:pt idx="16">
                  <c:v>3.6769158048780488</c:v>
                </c:pt>
                <c:pt idx="17">
                  <c:v>3.5820460820512823</c:v>
                </c:pt>
                <c:pt idx="18">
                  <c:v>2.445100780952381</c:v>
                </c:pt>
                <c:pt idx="19">
                  <c:v>5.8051809523809519</c:v>
                </c:pt>
                <c:pt idx="20">
                  <c:v>2.1509563286821707</c:v>
                </c:pt>
                <c:pt idx="21">
                  <c:v>2.899948524137931</c:v>
                </c:pt>
                <c:pt idx="22">
                  <c:v>1.7190993939393939</c:v>
                </c:pt>
                <c:pt idx="23">
                  <c:v>2.5678284000000002</c:v>
                </c:pt>
                <c:pt idx="24">
                  <c:v>1.5459240000000001</c:v>
                </c:pt>
                <c:pt idx="25">
                  <c:v>2.4000727999999998</c:v>
                </c:pt>
                <c:pt idx="26">
                  <c:v>2.0529983999999999</c:v>
                </c:pt>
                <c:pt idx="27">
                  <c:v>1.8294997333333334</c:v>
                </c:pt>
                <c:pt idx="28">
                  <c:v>1.4780768</c:v>
                </c:pt>
                <c:pt idx="29">
                  <c:v>2.0015999999999998</c:v>
                </c:pt>
                <c:pt idx="30">
                  <c:v>0.71934639999999994</c:v>
                </c:pt>
                <c:pt idx="31">
                  <c:v>1.3888618666666666</c:v>
                </c:pt>
                <c:pt idx="32">
                  <c:v>0.8362613333333333</c:v>
                </c:pt>
                <c:pt idx="33">
                  <c:v>0.92499111111111121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6-463D-9EDC-EA33BE381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</c:lineChart>
      <c:lineChart>
        <c:grouping val="standard"/>
        <c:varyColors val="1"/>
        <c:ser>
          <c:idx val="2"/>
          <c:order val="1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'Run 3, 4, and 5'!$U$5:$U$38</c:f>
              <c:numCache>
                <c:formatCode>General</c:formatCode>
                <c:ptCount val="34"/>
                <c:pt idx="0">
                  <c:v>14</c:v>
                </c:pt>
                <c:pt idx="1">
                  <c:v>4.7699999999999996</c:v>
                </c:pt>
                <c:pt idx="2">
                  <c:v>0</c:v>
                </c:pt>
                <c:pt idx="3">
                  <c:v>15.91</c:v>
                </c:pt>
                <c:pt idx="4">
                  <c:v>0</c:v>
                </c:pt>
                <c:pt idx="5">
                  <c:v>38.85</c:v>
                </c:pt>
                <c:pt idx="6">
                  <c:v>25.13</c:v>
                </c:pt>
                <c:pt idx="7">
                  <c:v>22.56</c:v>
                </c:pt>
                <c:pt idx="8">
                  <c:v>24.75</c:v>
                </c:pt>
                <c:pt idx="9">
                  <c:v>43.03</c:v>
                </c:pt>
                <c:pt idx="10">
                  <c:v>19.5</c:v>
                </c:pt>
                <c:pt idx="11">
                  <c:v>27.84</c:v>
                </c:pt>
                <c:pt idx="12">
                  <c:v>12.38</c:v>
                </c:pt>
                <c:pt idx="13">
                  <c:v>20.32</c:v>
                </c:pt>
                <c:pt idx="14">
                  <c:v>33.67</c:v>
                </c:pt>
                <c:pt idx="15">
                  <c:v>11.59</c:v>
                </c:pt>
                <c:pt idx="16">
                  <c:v>29.92</c:v>
                </c:pt>
                <c:pt idx="17">
                  <c:v>9.77</c:v>
                </c:pt>
                <c:pt idx="18">
                  <c:v>24.54</c:v>
                </c:pt>
                <c:pt idx="19">
                  <c:v>22.74</c:v>
                </c:pt>
                <c:pt idx="20">
                  <c:v>27.89</c:v>
                </c:pt>
                <c:pt idx="21">
                  <c:v>24.14</c:v>
                </c:pt>
                <c:pt idx="22">
                  <c:v>145.41999999999999</c:v>
                </c:pt>
                <c:pt idx="23">
                  <c:v>19.47</c:v>
                </c:pt>
                <c:pt idx="24">
                  <c:v>2.59</c:v>
                </c:pt>
                <c:pt idx="25">
                  <c:v>34.58</c:v>
                </c:pt>
                <c:pt idx="26">
                  <c:v>41.4</c:v>
                </c:pt>
                <c:pt idx="27">
                  <c:v>153.59</c:v>
                </c:pt>
                <c:pt idx="28">
                  <c:v>135.31</c:v>
                </c:pt>
                <c:pt idx="29">
                  <c:v>198.84</c:v>
                </c:pt>
                <c:pt idx="30">
                  <c:v>20.85</c:v>
                </c:pt>
                <c:pt idx="31">
                  <c:v>9.36</c:v>
                </c:pt>
                <c:pt idx="32">
                  <c:v>22.72</c:v>
                </c:pt>
                <c:pt idx="3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86-463D-9EDC-EA33BE381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682496"/>
        <c:axId val="1987684416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CO</a:t>
                </a:r>
                <a:r>
                  <a:rPr lang="en-GB" sz="1000" b="1" i="0" u="none" strike="noStrike" kern="1200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 Capture </a:t>
                </a:r>
                <a:r>
                  <a:rPr lang="en-GB" baseline="0"/>
                  <a:t>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987684416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crossAx val="1987682496"/>
        <c:crosses val="max"/>
        <c:crossBetween val="between"/>
      </c:valAx>
      <c:catAx>
        <c:axId val="1987682496"/>
        <c:scaling>
          <c:orientation val="minMax"/>
        </c:scaling>
        <c:delete val="1"/>
        <c:axPos val="b"/>
        <c:majorTickMark val="out"/>
        <c:minorTickMark val="none"/>
        <c:tickLblPos val="nextTo"/>
        <c:crossAx val="198768441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Operating Hours per Cycle
Run 3, 4, and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Run 3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2368970700435143E-2"/>
                  <c:y val="-0.461894452922596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'Run 3, 4, and 5'!$B$5:$B$7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5'!$C$5:$C$7</c:f>
              <c:numCache>
                <c:formatCode>h:mm</c:formatCode>
                <c:ptCount val="3"/>
                <c:pt idx="0">
                  <c:v>0.2048611111111111</c:v>
                </c:pt>
                <c:pt idx="1">
                  <c:v>0.13402777777777775</c:v>
                </c:pt>
                <c:pt idx="2">
                  <c:v>0.18263888888888885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38-4818-9C9B-94A2AA9087D3}"/>
            </c:ext>
          </c:extLst>
        </c:ser>
        <c:ser>
          <c:idx val="1"/>
          <c:order val="1"/>
          <c:tx>
            <c:v>Run 4</c:v>
          </c:tx>
          <c:spPr>
            <a:ln w="19050" cap="rnd">
              <a:solidFill>
                <a:srgbClr val="FF33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671080506736142E-3"/>
                  <c:y val="-0.138890542621738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'Run 3, 4, and 5'!$B$8:$B$20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5'!$C$8:$C$20</c:f>
              <c:numCache>
                <c:formatCode>h:mm</c:formatCode>
                <c:ptCount val="13"/>
                <c:pt idx="0">
                  <c:v>0.23541666666666666</c:v>
                </c:pt>
                <c:pt idx="1">
                  <c:v>0.17291666666666661</c:v>
                </c:pt>
                <c:pt idx="2">
                  <c:v>0.21944444444444444</c:v>
                </c:pt>
                <c:pt idx="3">
                  <c:v>0.19861111111111113</c:v>
                </c:pt>
                <c:pt idx="4">
                  <c:v>0.27430555555555558</c:v>
                </c:pt>
                <c:pt idx="5">
                  <c:v>0.25625000000000003</c:v>
                </c:pt>
                <c:pt idx="6">
                  <c:v>0.15000000000000002</c:v>
                </c:pt>
                <c:pt idx="7">
                  <c:v>0.26805555555555549</c:v>
                </c:pt>
                <c:pt idx="8">
                  <c:v>0.32430555555555557</c:v>
                </c:pt>
                <c:pt idx="9">
                  <c:v>0.22777777777777775</c:v>
                </c:pt>
                <c:pt idx="10">
                  <c:v>0.26319444444444451</c:v>
                </c:pt>
                <c:pt idx="11">
                  <c:v>0.24722222222222223</c:v>
                </c:pt>
                <c:pt idx="12">
                  <c:v>0.23472222222222222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38-4818-9C9B-94A2AA9087D3}"/>
            </c:ext>
          </c:extLst>
        </c:ser>
        <c:ser>
          <c:idx val="2"/>
          <c:order val="2"/>
          <c:tx>
            <c:v>Run 5</c:v>
          </c:tx>
          <c:spPr>
            <a:ln w="19050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7069788191725961E-3"/>
                  <c:y val="-0.270360026858790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'Run 3, 4, and 5'!$B$21:$B$38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5'!$C$21:$C$38</c:f>
              <c:numCache>
                <c:formatCode>h:mm</c:formatCode>
                <c:ptCount val="18"/>
                <c:pt idx="0">
                  <c:v>0.22916666666666663</c:v>
                </c:pt>
                <c:pt idx="1">
                  <c:v>0.27083333333333331</c:v>
                </c:pt>
                <c:pt idx="2">
                  <c:v>0.29097222222222224</c:v>
                </c:pt>
                <c:pt idx="3">
                  <c:v>0.3652777777777777</c:v>
                </c:pt>
                <c:pt idx="4">
                  <c:v>0.31666666666666665</c:v>
                </c:pt>
                <c:pt idx="5">
                  <c:v>0.30694444444444446</c:v>
                </c:pt>
                <c:pt idx="6">
                  <c:v>0.31597222222222227</c:v>
                </c:pt>
                <c:pt idx="7">
                  <c:v>0.27847222222222223</c:v>
                </c:pt>
                <c:pt idx="8">
                  <c:v>0.2729166666666667</c:v>
                </c:pt>
                <c:pt idx="9">
                  <c:v>0.3263888888888889</c:v>
                </c:pt>
                <c:pt idx="10">
                  <c:v>0.28541666666666671</c:v>
                </c:pt>
                <c:pt idx="11">
                  <c:v>0.30763888888888885</c:v>
                </c:pt>
                <c:pt idx="12">
                  <c:v>0.27013888888888887</c:v>
                </c:pt>
                <c:pt idx="13">
                  <c:v>0.33055555555555555</c:v>
                </c:pt>
                <c:pt idx="14">
                  <c:v>0.28124999999999994</c:v>
                </c:pt>
                <c:pt idx="15">
                  <c:v>0.25972222222222219</c:v>
                </c:pt>
                <c:pt idx="16">
                  <c:v>0.22638888888888892</c:v>
                </c:pt>
                <c:pt idx="17">
                  <c:v>0.30347222222222225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38-4818-9C9B-94A2AA90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26544"/>
        <c:axId val="1645144304"/>
      </c:scatterChart>
      <c:valAx>
        <c:axId val="1645126544"/>
        <c:scaling>
          <c:orientation val="minMax"/>
          <c:max val="3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44304"/>
        <c:crosses val="autoZero"/>
        <c:crossBetween val="midCat"/>
        <c:majorUnit val="1"/>
      </c:valAx>
      <c:valAx>
        <c:axId val="16451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Hours of Operation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26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Operating 
Hour Cumulative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Operating 
Hour Cumulative Gen 1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'All Run'!#REF!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A-49A6-B7BF-8CB86E49537B}"/>
            </c:ext>
          </c:extLst>
        </c:ser>
        <c:ser>
          <c:idx val="1"/>
          <c:order val="1"/>
          <c:tx>
            <c:v>Operating 
Hour Cumulative Gen 1+2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2 Gen 1+2'!$D$5:$D$22</c:f>
              <c:numCache>
                <c:formatCode>[h]:mm</c:formatCode>
                <c:ptCount val="18"/>
                <c:pt idx="0" formatCode="h:mm">
                  <c:v>0.22777777777777777</c:v>
                </c:pt>
                <c:pt idx="1">
                  <c:v>0.45277777777777772</c:v>
                </c:pt>
                <c:pt idx="2">
                  <c:v>0.76527777777777772</c:v>
                </c:pt>
                <c:pt idx="3">
                  <c:v>0.9819444444444444</c:v>
                </c:pt>
                <c:pt idx="4">
                  <c:v>1.2020833333333334</c:v>
                </c:pt>
                <c:pt idx="5">
                  <c:v>1.4715277777777778</c:v>
                </c:pt>
                <c:pt idx="6">
                  <c:v>1.7597222222222222</c:v>
                </c:pt>
                <c:pt idx="7">
                  <c:v>2.0298611111111109</c:v>
                </c:pt>
                <c:pt idx="8">
                  <c:v>2.2937499999999997</c:v>
                </c:pt>
                <c:pt idx="9">
                  <c:v>2.5284722222222218</c:v>
                </c:pt>
                <c:pt idx="10">
                  <c:v>2.7812499999999996</c:v>
                </c:pt>
                <c:pt idx="11">
                  <c:v>3.0368055555555551</c:v>
                </c:pt>
                <c:pt idx="12">
                  <c:v>3.2680555555555548</c:v>
                </c:pt>
                <c:pt idx="13">
                  <c:v>3.4756944444444438</c:v>
                </c:pt>
                <c:pt idx="14">
                  <c:v>3.6930555555555546</c:v>
                </c:pt>
                <c:pt idx="15">
                  <c:v>3.8986111111111104</c:v>
                </c:pt>
                <c:pt idx="16">
                  <c:v>4.1097222222222216</c:v>
                </c:pt>
                <c:pt idx="17">
                  <c:v>4.3347222222222213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A-49A6-B7BF-8CB86E495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77484"/>
        <c:axId val="1969828457"/>
      </c:lineChart>
      <c:catAx>
        <c:axId val="33777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69828457"/>
        <c:crosses val="autoZero"/>
        <c:auto val="1"/>
        <c:lblAlgn val="ctr"/>
        <c:lblOffset val="100"/>
        <c:noMultiLvlLbl val="1"/>
      </c:catAx>
      <c:valAx>
        <c:axId val="1969828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3377748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</a:t>
            </a:r>
            <a:r>
              <a:rPr lang="en-US" baseline="-25000"/>
              <a:t>2 </a:t>
            </a:r>
            <a:r>
              <a:rPr lang="en-US"/>
              <a:t>Capture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91161472295017"/>
          <c:y val="0.10237237237237239"/>
          <c:w val="0.82619530517558115"/>
          <c:h val="0.74996973351304064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A3A-4C1A-A3AB-ED69E43F2CAF}"/>
              </c:ext>
            </c:extLst>
          </c:dPt>
          <c:dPt>
            <c:idx val="1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149D-4823-A43D-900E364195DE}"/>
              </c:ext>
            </c:extLst>
          </c:dPt>
          <c:dPt>
            <c:idx val="2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848C-427F-90A0-A23A7B4EBBC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48C-427F-90A0-A23A7B4EBBCA}"/>
              </c:ext>
            </c:extLst>
          </c:dPt>
          <c:dPt>
            <c:idx val="4"/>
            <c:invertIfNegative val="1"/>
            <c:bubble3D val="0"/>
            <c:spPr>
              <a:solidFill>
                <a:srgbClr val="9933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848C-427F-90A0-A23A7B4EBBC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'All Run'!$E$3:$E$7</c:f>
              <c:strCache>
                <c:ptCount val="5"/>
                <c:pt idx="0">
                  <c:v>Run 1 Gen 1</c:v>
                </c:pt>
                <c:pt idx="1">
                  <c:v>Run 2 Gen 1+2</c:v>
                </c:pt>
                <c:pt idx="2">
                  <c:v>Run 3 Zeolite</c:v>
                </c:pt>
                <c:pt idx="3">
                  <c:v>Run 4 Gen 1 + Zeolite</c:v>
                </c:pt>
                <c:pt idx="4">
                  <c:v>Run 5 Gen 1 + Gen 2.2 + Zeolite</c:v>
                </c:pt>
              </c:strCache>
            </c:strRef>
          </c:cat>
          <c:val>
            <c:numRef>
              <c:f>'All Run'!$F$3:$F$7</c:f>
              <c:numCache>
                <c:formatCode>0.00</c:formatCode>
                <c:ptCount val="5"/>
                <c:pt idx="0">
                  <c:v>173.89309790047304</c:v>
                </c:pt>
                <c:pt idx="1">
                  <c:v>164.26488063841526</c:v>
                </c:pt>
                <c:pt idx="2">
                  <c:v>5.8627361403508766</c:v>
                </c:pt>
                <c:pt idx="3">
                  <c:v>65.90408446919723</c:v>
                </c:pt>
                <c:pt idx="4">
                  <c:v>39.874708711466603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A3A-4C1A-A3AB-ED69E43F2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513043"/>
        <c:axId val="1314416640"/>
      </c:barChart>
      <c:catAx>
        <c:axId val="3985130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314416640"/>
        <c:crosses val="autoZero"/>
        <c:auto val="1"/>
        <c:lblAlgn val="ctr"/>
        <c:lblOffset val="100"/>
        <c:noMultiLvlLbl val="1"/>
      </c:catAx>
      <c:valAx>
        <c:axId val="1314416640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(Kg)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crossAx val="398513043"/>
        <c:crosses val="max"/>
        <c:crossBetween val="between"/>
        <c:majorUnit val="50"/>
      </c:valAx>
    </c:plotArea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algn="ctr" rtl="0">
              <a:defRPr/>
            </a:pPr>
            <a:r>
              <a:rPr lang="en-US"/>
              <a:t> Capture Efficiency (%)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4150540295366837E-2"/>
          <c:y val="0.10714883178286397"/>
          <c:w val="0.93880240079209643"/>
          <c:h val="0.74264847704615733"/>
        </c:manualLayout>
      </c:layout>
      <c:scatterChart>
        <c:scatterStyle val="lineMarker"/>
        <c:varyColors val="1"/>
        <c:ser>
          <c:idx val="0"/>
          <c:order val="0"/>
          <c:tx>
            <c:v>% Capture Run 1</c:v>
          </c:tx>
          <c:spPr>
            <a:ln w="25400">
              <a:noFill/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'Run 1 Gen 1 '!$B$7:$B$36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'Run 1 Gen 1 '!$X$7:$X$36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99.99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99.99</c:v>
                </c:pt>
                <c:pt idx="10">
                  <c:v>99.99</c:v>
                </c:pt>
                <c:pt idx="11">
                  <c:v>99.99</c:v>
                </c:pt>
                <c:pt idx="12">
                  <c:v>100</c:v>
                </c:pt>
                <c:pt idx="13">
                  <c:v>99.99</c:v>
                </c:pt>
                <c:pt idx="14">
                  <c:v>99.97</c:v>
                </c:pt>
                <c:pt idx="15">
                  <c:v>100</c:v>
                </c:pt>
                <c:pt idx="17">
                  <c:v>99.99</c:v>
                </c:pt>
                <c:pt idx="18">
                  <c:v>99.99</c:v>
                </c:pt>
                <c:pt idx="19">
                  <c:v>99.99</c:v>
                </c:pt>
                <c:pt idx="20">
                  <c:v>99.95</c:v>
                </c:pt>
                <c:pt idx="21">
                  <c:v>99.99</c:v>
                </c:pt>
                <c:pt idx="22">
                  <c:v>99.99</c:v>
                </c:pt>
                <c:pt idx="23">
                  <c:v>99.95</c:v>
                </c:pt>
                <c:pt idx="24">
                  <c:v>99.99</c:v>
                </c:pt>
                <c:pt idx="25">
                  <c:v>99.99</c:v>
                </c:pt>
                <c:pt idx="26">
                  <c:v>100</c:v>
                </c:pt>
                <c:pt idx="27">
                  <c:v>100</c:v>
                </c:pt>
                <c:pt idx="28">
                  <c:v>99.98</c:v>
                </c:pt>
                <c:pt idx="29">
                  <c:v>99.99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8-4D12-9E44-0140F0AA2236}"/>
            </c:ext>
          </c:extLst>
        </c:ser>
        <c:ser>
          <c:idx val="1"/>
          <c:order val="1"/>
          <c:tx>
            <c:v>% Capture Run 2</c:v>
          </c:tx>
          <c:spPr>
            <a:ln w="25400">
              <a:noFill/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'Run 2 Gen 1+2'!$B$5:$B$42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'Run 2 Gen 1+2'!$O$5:$O$42</c:f>
              <c:numCache>
                <c:formatCode>General</c:formatCode>
                <c:ptCount val="3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99.98</c:v>
                </c:pt>
                <c:pt idx="4">
                  <c:v>99.99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99.38</c:v>
                </c:pt>
                <c:pt idx="12">
                  <c:v>98.9</c:v>
                </c:pt>
                <c:pt idx="13">
                  <c:v>91.65</c:v>
                </c:pt>
                <c:pt idx="14">
                  <c:v>94.4</c:v>
                </c:pt>
                <c:pt idx="15">
                  <c:v>98.95</c:v>
                </c:pt>
                <c:pt idx="16">
                  <c:v>99.7</c:v>
                </c:pt>
                <c:pt idx="17">
                  <c:v>99.8</c:v>
                </c:pt>
                <c:pt idx="18">
                  <c:v>99.69</c:v>
                </c:pt>
                <c:pt idx="19">
                  <c:v>99.76</c:v>
                </c:pt>
                <c:pt idx="20">
                  <c:v>99.84</c:v>
                </c:pt>
                <c:pt idx="21">
                  <c:v>99.77</c:v>
                </c:pt>
                <c:pt idx="22">
                  <c:v>99.69</c:v>
                </c:pt>
                <c:pt idx="23">
                  <c:v>99.82</c:v>
                </c:pt>
                <c:pt idx="24">
                  <c:v>99.9</c:v>
                </c:pt>
                <c:pt idx="25">
                  <c:v>98.91</c:v>
                </c:pt>
                <c:pt idx="26">
                  <c:v>99.64</c:v>
                </c:pt>
                <c:pt idx="27">
                  <c:v>99.74</c:v>
                </c:pt>
                <c:pt idx="28">
                  <c:v>100</c:v>
                </c:pt>
                <c:pt idx="29">
                  <c:v>99.66</c:v>
                </c:pt>
                <c:pt idx="30">
                  <c:v>99.93</c:v>
                </c:pt>
                <c:pt idx="31">
                  <c:v>99.56</c:v>
                </c:pt>
                <c:pt idx="32">
                  <c:v>99.41</c:v>
                </c:pt>
                <c:pt idx="33">
                  <c:v>99.03</c:v>
                </c:pt>
                <c:pt idx="34">
                  <c:v>98.96</c:v>
                </c:pt>
                <c:pt idx="35">
                  <c:v>98.8</c:v>
                </c:pt>
                <c:pt idx="36">
                  <c:v>99.53</c:v>
                </c:pt>
                <c:pt idx="37">
                  <c:v>99.67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8-4D12-9E44-0140F0AA2236}"/>
            </c:ext>
          </c:extLst>
        </c:ser>
        <c:ser>
          <c:idx val="2"/>
          <c:order val="2"/>
          <c:tx>
            <c:v>% Capture Run 3</c:v>
          </c:tx>
          <c:spPr>
            <a:ln w="19050">
              <a:noFill/>
            </a:ln>
          </c:spPr>
          <c:marker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'Run 3 Zeolite  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 Zeolite  '!$O$5:$O$7</c:f>
              <c:numCache>
                <c:formatCode>General</c:formatCode>
                <c:ptCount val="3"/>
                <c:pt idx="0">
                  <c:v>99.82</c:v>
                </c:pt>
                <c:pt idx="1">
                  <c:v>95.16</c:v>
                </c:pt>
                <c:pt idx="2">
                  <c:v>99.58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77-41E4-BC7B-53EF9B4988CF}"/>
            </c:ext>
          </c:extLst>
        </c:ser>
        <c:ser>
          <c:idx val="3"/>
          <c:order val="3"/>
          <c:tx>
            <c:v>% Capture Run 4</c:v>
          </c:tx>
          <c:spPr>
            <a:ln w="19050">
              <a:noFill/>
            </a:ln>
          </c:spPr>
          <c:marker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'Run 4 Gen 1 + Zeolite 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'Run 4 Gen 1 + Zeolite '!$O$5:$O$17</c:f>
              <c:numCache>
                <c:formatCode>General</c:formatCode>
                <c:ptCount val="13"/>
                <c:pt idx="0">
                  <c:v>99.95</c:v>
                </c:pt>
                <c:pt idx="1">
                  <c:v>99.76</c:v>
                </c:pt>
                <c:pt idx="2">
                  <c:v>99.73</c:v>
                </c:pt>
                <c:pt idx="3">
                  <c:v>99.83</c:v>
                </c:pt>
                <c:pt idx="4">
                  <c:v>99.9</c:v>
                </c:pt>
                <c:pt idx="5">
                  <c:v>99.87</c:v>
                </c:pt>
                <c:pt idx="6">
                  <c:v>99.9</c:v>
                </c:pt>
                <c:pt idx="7">
                  <c:v>99.84</c:v>
                </c:pt>
                <c:pt idx="8">
                  <c:v>99.79</c:v>
                </c:pt>
                <c:pt idx="9">
                  <c:v>99.88</c:v>
                </c:pt>
                <c:pt idx="10">
                  <c:v>99.73</c:v>
                </c:pt>
                <c:pt idx="11">
                  <c:v>99.74</c:v>
                </c:pt>
                <c:pt idx="12">
                  <c:v>99.85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77-41E4-BC7B-53EF9B4988CF}"/>
            </c:ext>
          </c:extLst>
        </c:ser>
        <c:ser>
          <c:idx val="4"/>
          <c:order val="4"/>
          <c:tx>
            <c:v>% Capture Run 5</c:v>
          </c:tx>
          <c:spPr>
            <a:ln w="19050">
              <a:noFill/>
            </a:ln>
          </c:spPr>
          <c:marker>
            <c:spPr>
              <a:solidFill>
                <a:srgbClr val="993300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xVal>
            <c:numRef>
              <c:f>'Run 5 Gen 1+Gen 2.2+ Zeolite'!$B$5:$B$22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'Run 5 Gen 1+Gen 2.2+ Zeolite'!$O$5:$O$22</c:f>
              <c:numCache>
                <c:formatCode>General</c:formatCode>
                <c:ptCount val="18"/>
                <c:pt idx="0">
                  <c:v>99.65</c:v>
                </c:pt>
                <c:pt idx="1">
                  <c:v>99.5</c:v>
                </c:pt>
                <c:pt idx="2">
                  <c:v>99.8</c:v>
                </c:pt>
                <c:pt idx="3">
                  <c:v>99.92</c:v>
                </c:pt>
                <c:pt idx="4">
                  <c:v>99.55</c:v>
                </c:pt>
                <c:pt idx="5">
                  <c:v>99.65</c:v>
                </c:pt>
                <c:pt idx="6">
                  <c:v>99.37</c:v>
                </c:pt>
                <c:pt idx="7">
                  <c:v>99.53</c:v>
                </c:pt>
                <c:pt idx="8">
                  <c:v>99.1</c:v>
                </c:pt>
                <c:pt idx="9">
                  <c:v>99.18</c:v>
                </c:pt>
                <c:pt idx="10">
                  <c:v>99.18</c:v>
                </c:pt>
                <c:pt idx="11">
                  <c:v>99.43</c:v>
                </c:pt>
                <c:pt idx="12">
                  <c:v>99.2</c:v>
                </c:pt>
                <c:pt idx="13">
                  <c:v>99.09</c:v>
                </c:pt>
                <c:pt idx="14">
                  <c:v>98.54</c:v>
                </c:pt>
                <c:pt idx="15">
                  <c:v>99.2</c:v>
                </c:pt>
                <c:pt idx="16">
                  <c:v>98.38</c:v>
                </c:pt>
                <c:pt idx="17">
                  <c:v>99.46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77-41E4-BC7B-53EF9B498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07567"/>
        <c:axId val="1071208760"/>
      </c:scatterChart>
      <c:valAx>
        <c:axId val="147750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71208760"/>
        <c:crosses val="autoZero"/>
        <c:crossBetween val="midCat"/>
      </c:valAx>
      <c:valAx>
        <c:axId val="1071208760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477507567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</a:t>
            </a:r>
            <a:r>
              <a:rPr lang="en-US" baseline="-25000"/>
              <a:t>2</a:t>
            </a:r>
            <a:r>
              <a:rPr lang="en-US"/>
              <a:t> Recovery
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'All Run'!$M$2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AAD-463D-85E4-4741B39624F2}"/>
              </c:ext>
            </c:extLst>
          </c:dPt>
          <c:dPt>
            <c:idx val="1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AAD-463D-85E4-4741B39624F2}"/>
              </c:ext>
            </c:extLst>
          </c:dPt>
          <c:dPt>
            <c:idx val="2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EEC-4E6D-A6D3-444B44C6986B}"/>
              </c:ext>
            </c:extLst>
          </c:dPt>
          <c:dPt>
            <c:idx val="3"/>
            <c:invertIfNegative val="1"/>
            <c:bubble3D val="0"/>
            <c:spPr>
              <a:solidFill>
                <a:srgbClr val="FF33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EEC-4E6D-A6D3-444B44C6986B}"/>
              </c:ext>
            </c:extLst>
          </c:dPt>
          <c:dPt>
            <c:idx val="4"/>
            <c:invertIfNegative val="1"/>
            <c:bubble3D val="0"/>
            <c:spPr>
              <a:solidFill>
                <a:srgbClr val="9933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EEC-4E6D-A6D3-444B44C6986B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LID4096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AAD-463D-85E4-4741B39624F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'All Run'!$L$3:$L$7</c:f>
              <c:strCache>
                <c:ptCount val="5"/>
                <c:pt idx="0">
                  <c:v>Run 1 Gen 1</c:v>
                </c:pt>
                <c:pt idx="1">
                  <c:v>Run 2 Gen 1+2</c:v>
                </c:pt>
                <c:pt idx="2">
                  <c:v>Run 3 Zeolite</c:v>
                </c:pt>
                <c:pt idx="3">
                  <c:v>Run 4 Gen 1 + Zeolite</c:v>
                </c:pt>
                <c:pt idx="4">
                  <c:v>Run 5 Gen 1 + Gen 2.2 + Zeolite</c:v>
                </c:pt>
              </c:strCache>
            </c:strRef>
          </c:cat>
          <c:val>
            <c:numRef>
              <c:f>'All Run'!$M$3:$M$7</c:f>
              <c:numCache>
                <c:formatCode>0.00</c:formatCode>
                <c:ptCount val="5"/>
                <c:pt idx="0">
                  <c:v>15.346524757333331</c:v>
                </c:pt>
                <c:pt idx="1">
                  <c:v>20.349999999999998</c:v>
                </c:pt>
                <c:pt idx="2" formatCode="General">
                  <c:v>1.1600000000000001</c:v>
                </c:pt>
                <c:pt idx="3" formatCode="General">
                  <c:v>15.020000000000001</c:v>
                </c:pt>
                <c:pt idx="4" formatCode="General">
                  <c:v>18.66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AAD-463D-85E4-4741B396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7395253"/>
        <c:axId val="391668723"/>
      </c:barChart>
      <c:catAx>
        <c:axId val="159739525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391668723"/>
        <c:crosses val="autoZero"/>
        <c:auto val="1"/>
        <c:lblAlgn val="ctr"/>
        <c:lblOffset val="100"/>
        <c:noMultiLvlLbl val="1"/>
      </c:catAx>
      <c:valAx>
        <c:axId val="391668723"/>
        <c:scaling>
          <c:orientation val="minMax"/>
          <c:max val="2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(Kg)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crossAx val="1597395253"/>
        <c:crosses val="max"/>
        <c:crossBetween val="between"/>
        <c:majorUnit val="5"/>
      </c:valAx>
    </c:plotArea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algn="ctr" rtl="0">
              <a:defRPr/>
            </a:pPr>
            <a:r>
              <a:rPr lang="en-US"/>
              <a:t>Recovery (%)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4150540295366837E-2"/>
          <c:y val="0.10714883178286397"/>
          <c:w val="0.93880240079209643"/>
          <c:h val="0.74264847704615733"/>
        </c:manualLayout>
      </c:layout>
      <c:scatterChart>
        <c:scatterStyle val="lineMarker"/>
        <c:varyColors val="1"/>
        <c:ser>
          <c:idx val="0"/>
          <c:order val="0"/>
          <c:tx>
            <c:v>% Recovery Run 1</c:v>
          </c:tx>
          <c:spPr>
            <a:ln w="25400">
              <a:noFill/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'Run 1 Gen 1 '!$B$7:$B$36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'Run 1 Gen 1 '!$AF$7:$AF$36</c:f>
              <c:numCache>
                <c:formatCode>General</c:formatCode>
                <c:ptCount val="30"/>
                <c:pt idx="0">
                  <c:v>5.08</c:v>
                </c:pt>
                <c:pt idx="1">
                  <c:v>2.04</c:v>
                </c:pt>
                <c:pt idx="2">
                  <c:v>6.89</c:v>
                </c:pt>
                <c:pt idx="3">
                  <c:v>5.67</c:v>
                </c:pt>
                <c:pt idx="5">
                  <c:v>24.82</c:v>
                </c:pt>
                <c:pt idx="7">
                  <c:v>16.95</c:v>
                </c:pt>
                <c:pt idx="8">
                  <c:v>9.86</c:v>
                </c:pt>
                <c:pt idx="9">
                  <c:v>6.01</c:v>
                </c:pt>
                <c:pt idx="10">
                  <c:v>12.22</c:v>
                </c:pt>
                <c:pt idx="11">
                  <c:v>11.15</c:v>
                </c:pt>
                <c:pt idx="12">
                  <c:v>8.76</c:v>
                </c:pt>
                <c:pt idx="13">
                  <c:v>13.1</c:v>
                </c:pt>
                <c:pt idx="14">
                  <c:v>19.82</c:v>
                </c:pt>
                <c:pt idx="15">
                  <c:v>5.34</c:v>
                </c:pt>
                <c:pt idx="16">
                  <c:v>0</c:v>
                </c:pt>
                <c:pt idx="17">
                  <c:v>9.76</c:v>
                </c:pt>
                <c:pt idx="18">
                  <c:v>12.97</c:v>
                </c:pt>
                <c:pt idx="19">
                  <c:v>4.46</c:v>
                </c:pt>
                <c:pt idx="20">
                  <c:v>10.97</c:v>
                </c:pt>
                <c:pt idx="21">
                  <c:v>16.079999999999998</c:v>
                </c:pt>
                <c:pt idx="22">
                  <c:v>9.94</c:v>
                </c:pt>
                <c:pt idx="23">
                  <c:v>8.16</c:v>
                </c:pt>
                <c:pt idx="24">
                  <c:v>7.52</c:v>
                </c:pt>
                <c:pt idx="25">
                  <c:v>7.29</c:v>
                </c:pt>
                <c:pt idx="26">
                  <c:v>6.35</c:v>
                </c:pt>
                <c:pt idx="27">
                  <c:v>8.51</c:v>
                </c:pt>
                <c:pt idx="28">
                  <c:v>2.2200000000000002</c:v>
                </c:pt>
                <c:pt idx="29">
                  <c:v>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C-455A-A52A-1A0C47EC982B}"/>
            </c:ext>
          </c:extLst>
        </c:ser>
        <c:ser>
          <c:idx val="1"/>
          <c:order val="1"/>
          <c:tx>
            <c:v>% Recovery Run 2</c:v>
          </c:tx>
          <c:spPr>
            <a:ln w="25400">
              <a:noFill/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'Run 2 Gen 1+2'!$B$5:$B$42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'Run 2 Gen 1+2'!$U$5:$U$42</c:f>
              <c:numCache>
                <c:formatCode>General</c:formatCode>
                <c:ptCount val="38"/>
                <c:pt idx="0">
                  <c:v>5.61</c:v>
                </c:pt>
                <c:pt idx="1">
                  <c:v>2</c:v>
                </c:pt>
                <c:pt idx="2">
                  <c:v>2.91</c:v>
                </c:pt>
                <c:pt idx="3">
                  <c:v>4.84</c:v>
                </c:pt>
                <c:pt idx="4">
                  <c:v>2.39</c:v>
                </c:pt>
                <c:pt idx="5">
                  <c:v>2.5099999999999998</c:v>
                </c:pt>
                <c:pt idx="6">
                  <c:v>3.8</c:v>
                </c:pt>
                <c:pt idx="7">
                  <c:v>5.62</c:v>
                </c:pt>
                <c:pt idx="8">
                  <c:v>0</c:v>
                </c:pt>
                <c:pt idx="9">
                  <c:v>6.4</c:v>
                </c:pt>
                <c:pt idx="10">
                  <c:v>46.67</c:v>
                </c:pt>
                <c:pt idx="11">
                  <c:v>3.47</c:v>
                </c:pt>
                <c:pt idx="12">
                  <c:v>3.82</c:v>
                </c:pt>
                <c:pt idx="13">
                  <c:v>54.55</c:v>
                </c:pt>
                <c:pt idx="14">
                  <c:v>74.91</c:v>
                </c:pt>
                <c:pt idx="15">
                  <c:v>51.55</c:v>
                </c:pt>
                <c:pt idx="16">
                  <c:v>18.690000000000001</c:v>
                </c:pt>
                <c:pt idx="17">
                  <c:v>12.08</c:v>
                </c:pt>
                <c:pt idx="18">
                  <c:v>16.059999999999999</c:v>
                </c:pt>
                <c:pt idx="19">
                  <c:v>11.98</c:v>
                </c:pt>
                <c:pt idx="20">
                  <c:v>13.66</c:v>
                </c:pt>
                <c:pt idx="21">
                  <c:v>14.87</c:v>
                </c:pt>
                <c:pt idx="22">
                  <c:v>12.91</c:v>
                </c:pt>
                <c:pt idx="23">
                  <c:v>15.08</c:v>
                </c:pt>
                <c:pt idx="24">
                  <c:v>18.850000000000001</c:v>
                </c:pt>
                <c:pt idx="25">
                  <c:v>14.44</c:v>
                </c:pt>
                <c:pt idx="26">
                  <c:v>18.3</c:v>
                </c:pt>
                <c:pt idx="27">
                  <c:v>17.55</c:v>
                </c:pt>
                <c:pt idx="28">
                  <c:v>41.73</c:v>
                </c:pt>
                <c:pt idx="29">
                  <c:v>14.53</c:v>
                </c:pt>
                <c:pt idx="30">
                  <c:v>8.94</c:v>
                </c:pt>
                <c:pt idx="31">
                  <c:v>16.010000000000002</c:v>
                </c:pt>
                <c:pt idx="32">
                  <c:v>30.22</c:v>
                </c:pt>
                <c:pt idx="33">
                  <c:v>98.61</c:v>
                </c:pt>
                <c:pt idx="34">
                  <c:v>44.7</c:v>
                </c:pt>
                <c:pt idx="35">
                  <c:v>72.3</c:v>
                </c:pt>
                <c:pt idx="36">
                  <c:v>26.47</c:v>
                </c:pt>
                <c:pt idx="37">
                  <c:v>56.79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C-455A-A52A-1A0C47EC982B}"/>
            </c:ext>
          </c:extLst>
        </c:ser>
        <c:ser>
          <c:idx val="2"/>
          <c:order val="2"/>
          <c:tx>
            <c:v>% Recovery Run 3</c:v>
          </c:tx>
          <c:spPr>
            <a:ln w="19050">
              <a:noFill/>
            </a:ln>
          </c:spPr>
          <c:marker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'Run 3 Zeolite  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 Zeolite  '!$U$5:$U$7</c:f>
              <c:numCache>
                <c:formatCode>General</c:formatCode>
                <c:ptCount val="3"/>
                <c:pt idx="0">
                  <c:v>14</c:v>
                </c:pt>
                <c:pt idx="1">
                  <c:v>49.5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05-43AA-854A-3D871E92DD68}"/>
            </c:ext>
          </c:extLst>
        </c:ser>
        <c:ser>
          <c:idx val="3"/>
          <c:order val="3"/>
          <c:tx>
            <c:v>% Recovery Run 4</c:v>
          </c:tx>
          <c:spPr>
            <a:ln w="19050">
              <a:noFill/>
            </a:ln>
          </c:spPr>
          <c:marker>
            <c:spPr>
              <a:solidFill>
                <a:srgbClr val="FF3399"/>
              </a:solidFill>
              <a:ln>
                <a:noFill/>
              </a:ln>
            </c:spPr>
          </c:marker>
          <c:xVal>
            <c:numRef>
              <c:f>'Run 4 Gen 1 + Zeolite 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'Run 4 Gen 1 + Zeolite '!$U$5:$U$17</c:f>
              <c:numCache>
                <c:formatCode>General</c:formatCode>
                <c:ptCount val="13"/>
                <c:pt idx="0">
                  <c:v>15.91</c:v>
                </c:pt>
                <c:pt idx="1">
                  <c:v>0</c:v>
                </c:pt>
                <c:pt idx="2">
                  <c:v>38.85</c:v>
                </c:pt>
                <c:pt idx="3">
                  <c:v>25.13</c:v>
                </c:pt>
                <c:pt idx="4">
                  <c:v>22.56</c:v>
                </c:pt>
                <c:pt idx="5">
                  <c:v>24.75</c:v>
                </c:pt>
                <c:pt idx="6">
                  <c:v>43.03</c:v>
                </c:pt>
                <c:pt idx="7">
                  <c:v>19.5</c:v>
                </c:pt>
                <c:pt idx="8">
                  <c:v>27.84</c:v>
                </c:pt>
                <c:pt idx="9">
                  <c:v>12.38</c:v>
                </c:pt>
                <c:pt idx="10">
                  <c:v>20.32</c:v>
                </c:pt>
                <c:pt idx="11">
                  <c:v>33.67</c:v>
                </c:pt>
                <c:pt idx="12">
                  <c:v>11.59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05-43AA-854A-3D871E92DD68}"/>
            </c:ext>
          </c:extLst>
        </c:ser>
        <c:ser>
          <c:idx val="4"/>
          <c:order val="4"/>
          <c:tx>
            <c:v>% Recovery Run 5</c:v>
          </c:tx>
          <c:spPr>
            <a:ln w="19050">
              <a:noFill/>
            </a:ln>
          </c:spPr>
          <c:marker>
            <c:spPr>
              <a:solidFill>
                <a:srgbClr val="993300"/>
              </a:solidFill>
              <a:ln>
                <a:noFill/>
              </a:ln>
            </c:spPr>
          </c:marker>
          <c:xVal>
            <c:numRef>
              <c:f>'Run 5 Gen 1+Gen 2.2+ Zeolite'!$B$5:$B$22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'Run 5 Gen 1+Gen 2.2+ Zeolite'!$U$5:$U$22</c:f>
              <c:numCache>
                <c:formatCode>General</c:formatCode>
                <c:ptCount val="18"/>
                <c:pt idx="0">
                  <c:v>29.92</c:v>
                </c:pt>
                <c:pt idx="1">
                  <c:v>4.7699999999999996</c:v>
                </c:pt>
                <c:pt idx="2">
                  <c:v>24.54</c:v>
                </c:pt>
                <c:pt idx="3">
                  <c:v>22.74</c:v>
                </c:pt>
                <c:pt idx="4">
                  <c:v>29.99</c:v>
                </c:pt>
                <c:pt idx="5">
                  <c:v>24.14</c:v>
                </c:pt>
                <c:pt idx="6">
                  <c:v>145.41999999999999</c:v>
                </c:pt>
                <c:pt idx="7">
                  <c:v>19.47</c:v>
                </c:pt>
                <c:pt idx="8">
                  <c:v>2.59</c:v>
                </c:pt>
                <c:pt idx="9">
                  <c:v>34.58</c:v>
                </c:pt>
                <c:pt idx="10">
                  <c:v>41.4</c:v>
                </c:pt>
                <c:pt idx="11">
                  <c:v>153.59</c:v>
                </c:pt>
                <c:pt idx="12">
                  <c:v>135.31</c:v>
                </c:pt>
                <c:pt idx="13">
                  <c:v>198.84</c:v>
                </c:pt>
                <c:pt idx="14">
                  <c:v>20.85</c:v>
                </c:pt>
                <c:pt idx="15">
                  <c:v>9.36</c:v>
                </c:pt>
                <c:pt idx="16">
                  <c:v>22.72</c:v>
                </c:pt>
                <c:pt idx="17">
                  <c:v>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05-43AA-854A-3D871E92D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832654"/>
        <c:axId val="1239429063"/>
      </c:scatterChart>
      <c:valAx>
        <c:axId val="1162832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39429063"/>
        <c:crosses val="autoZero"/>
        <c:crossBetween val="midCat"/>
      </c:valAx>
      <c:valAx>
        <c:axId val="1239429063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62832654"/>
        <c:crosses val="autoZero"/>
        <c:crossBetween val="midCat"/>
        <c:majorUnit val="10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Sorbent Aging - 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 per Cycle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CO2 Captured Run 1</c:v>
          </c:tx>
          <c:spPr>
            <a:solidFill>
              <a:schemeClr val="accent2"/>
            </a:solidFill>
            <a:ln w="28575" cmpd="sng">
              <a:noFill/>
            </a:ln>
          </c:spPr>
          <c: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5-4F53-A98B-FC8F7802EB40}"/>
            </c:ext>
          </c:extLst>
        </c:ser>
        <c:ser>
          <c:idx val="1"/>
          <c:order val="1"/>
          <c:tx>
            <c:v>CO2 Captured Run 2</c:v>
          </c:tx>
          <c:spPr>
            <a:solidFill>
              <a:srgbClr val="00B050"/>
            </a:solidFill>
            <a:ln w="28575" cmpd="sng">
              <a:noFill/>
            </a:ln>
          </c:spPr>
          <c:val>
            <c:numRef>
              <c:f>'Run 2 Gen 1+2'!$M$5:$M$42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7.0099140010570089</c:v>
                </c:pt>
                <c:pt idx="2">
                  <c:v>6.1899362569673242</c:v>
                </c:pt>
                <c:pt idx="3">
                  <c:v>3.7190812710161372</c:v>
                </c:pt>
                <c:pt idx="4">
                  <c:v>5.0295289088561441</c:v>
                </c:pt>
                <c:pt idx="5">
                  <c:v>8.7699948832178318</c:v>
                </c:pt>
                <c:pt idx="6">
                  <c:v>9.4699956269853107</c:v>
                </c:pt>
                <c:pt idx="7">
                  <c:v>9.0799943571033328</c:v>
                </c:pt>
                <c:pt idx="8">
                  <c:v>9.869995536489899</c:v>
                </c:pt>
                <c:pt idx="9">
                  <c:v>5.7799986123239728</c:v>
                </c:pt>
                <c:pt idx="10">
                  <c:v>0.89999872180055562</c:v>
                </c:pt>
                <c:pt idx="11">
                  <c:v>8.3579989264455783</c:v>
                </c:pt>
                <c:pt idx="12">
                  <c:v>2.0965808961670818</c:v>
                </c:pt>
                <c:pt idx="13">
                  <c:v>0.25662437479603645</c:v>
                </c:pt>
                <c:pt idx="14">
                  <c:v>1.3215404066666663</c:v>
                </c:pt>
                <c:pt idx="15">
                  <c:v>1.959250148080808</c:v>
                </c:pt>
                <c:pt idx="16">
                  <c:v>3.63889952248062</c:v>
                </c:pt>
                <c:pt idx="17">
                  <c:v>5.9583040208333333</c:v>
                </c:pt>
                <c:pt idx="18">
                  <c:v>4.5459168909090906</c:v>
                </c:pt>
                <c:pt idx="19">
                  <c:v>5.0079252936170207</c:v>
                </c:pt>
                <c:pt idx="20">
                  <c:v>5.7108919999999994</c:v>
                </c:pt>
                <c:pt idx="21">
                  <c:v>5.1778863438596492</c:v>
                </c:pt>
                <c:pt idx="22">
                  <c:v>5.4230470037735854</c:v>
                </c:pt>
                <c:pt idx="23">
                  <c:v>5.3701496655737708</c:v>
                </c:pt>
                <c:pt idx="24">
                  <c:v>5.1449434074074079</c:v>
                </c:pt>
                <c:pt idx="25">
                  <c:v>5.4002322000000005</c:v>
                </c:pt>
                <c:pt idx="26">
                  <c:v>3.6071058349206351</c:v>
                </c:pt>
                <c:pt idx="27">
                  <c:v>4.9571132352941172</c:v>
                </c:pt>
                <c:pt idx="28">
                  <c:v>1.39</c:v>
                </c:pt>
                <c:pt idx="29">
                  <c:v>4.3354109278911563</c:v>
                </c:pt>
                <c:pt idx="30">
                  <c:v>3.4674861551041669</c:v>
                </c:pt>
                <c:pt idx="31">
                  <c:v>2.7478559999999996</c:v>
                </c:pt>
                <c:pt idx="32">
                  <c:v>2.3161451172413794</c:v>
                </c:pt>
                <c:pt idx="33">
                  <c:v>0.84172000000000002</c:v>
                </c:pt>
                <c:pt idx="34">
                  <c:v>1.0291562666666667</c:v>
                </c:pt>
                <c:pt idx="35">
                  <c:v>1.0374062222222222</c:v>
                </c:pt>
                <c:pt idx="36">
                  <c:v>1.6621696701754385</c:v>
                </c:pt>
                <c:pt idx="37">
                  <c:v>1.5846844444444446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5-4F53-A98B-FC8F7802EB40}"/>
            </c:ext>
          </c:extLst>
        </c:ser>
        <c:ser>
          <c:idx val="2"/>
          <c:order val="2"/>
          <c:tx>
            <c:v>CO2 Captured Run 3</c:v>
          </c:tx>
          <c:spPr>
            <a:solidFill>
              <a:srgbClr val="00B0F0"/>
            </a:solidFill>
            <a:ln>
              <a:noFill/>
            </a:ln>
          </c:spPr>
          <c:val>
            <c:numRef>
              <c:f>'Run 3 Zeolite  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D-4066-A55D-D83E323C5C78}"/>
            </c:ext>
          </c:extLst>
        </c:ser>
        <c:ser>
          <c:idx val="3"/>
          <c:order val="3"/>
          <c:tx>
            <c:v>CO2 Captured Run 4</c:v>
          </c:tx>
          <c:spPr>
            <a:solidFill>
              <a:srgbClr val="FF3399"/>
            </a:solidFill>
            <a:ln>
              <a:noFill/>
            </a:ln>
          </c:spPr>
          <c:val>
            <c:numRef>
              <c:f>'Run 4 Gen 1 + Zeolite '!$M$5:$M$17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3.0425939999999998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D-4066-A55D-D83E323C5C78}"/>
            </c:ext>
          </c:extLst>
        </c:ser>
        <c:ser>
          <c:idx val="4"/>
          <c:order val="4"/>
          <c:tx>
            <c:v>CO2 Captured Run 5</c:v>
          </c:tx>
          <c:spPr>
            <a:solidFill>
              <a:srgbClr val="993300"/>
            </a:solidFill>
          </c:spPr>
          <c: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FD-4066-A55D-D83E323C5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07031"/>
        <c:axId val="434061209"/>
      </c:areaChart>
      <c:catAx>
        <c:axId val="403807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434061209"/>
        <c:crosses val="autoZero"/>
        <c:auto val="1"/>
        <c:lblAlgn val="ctr"/>
        <c:lblOffset val="100"/>
        <c:noMultiLvlLbl val="1"/>
      </c:catAx>
      <c:valAx>
        <c:axId val="434061209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403807031"/>
        <c:crosses val="autoZero"/>
        <c:crossBetween val="midCat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Q Flue Gas In &amp; CO2 Capture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Run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'Run 1 Gen 1 '!$R$7:$R$36</c:f>
              <c:numCache>
                <c:formatCode>0.00</c:formatCode>
                <c:ptCount val="30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</c:numCache>
            </c:numRef>
          </c:xVal>
          <c:yVal>
            <c:numRef>
              <c:f>'Run 1 Gen 1 '!$E$7:$E$36</c:f>
              <c:numCache>
                <c:formatCode>General</c:formatCode>
                <c:ptCount val="30"/>
                <c:pt idx="0">
                  <c:v>18.079999999999998</c:v>
                </c:pt>
                <c:pt idx="1">
                  <c:v>15.32</c:v>
                </c:pt>
                <c:pt idx="2">
                  <c:v>16.68</c:v>
                </c:pt>
                <c:pt idx="3">
                  <c:v>16.57</c:v>
                </c:pt>
                <c:pt idx="4">
                  <c:v>16.079999999999998</c:v>
                </c:pt>
                <c:pt idx="5">
                  <c:v>26.75</c:v>
                </c:pt>
                <c:pt idx="6">
                  <c:v>0</c:v>
                </c:pt>
                <c:pt idx="7" formatCode="0.00">
                  <c:v>25.37902439024381</c:v>
                </c:pt>
                <c:pt idx="8" formatCode="0.00">
                  <c:v>18.865611814345996</c:v>
                </c:pt>
                <c:pt idx="9" formatCode="0.00">
                  <c:v>19.039613526569994</c:v>
                </c:pt>
                <c:pt idx="10" formatCode="0.00">
                  <c:v>17.254263565891488</c:v>
                </c:pt>
                <c:pt idx="11" formatCode="0.00">
                  <c:v>18.801327433628288</c:v>
                </c:pt>
                <c:pt idx="12" formatCode="0.00">
                  <c:v>16.914675767918091</c:v>
                </c:pt>
                <c:pt idx="13" formatCode="0.00">
                  <c:v>16.450639386189213</c:v>
                </c:pt>
                <c:pt idx="14" formatCode="0.00">
                  <c:v>14.8</c:v>
                </c:pt>
                <c:pt idx="15" formatCode="0.00">
                  <c:v>17.334862385321102</c:v>
                </c:pt>
                <c:pt idx="16" formatCode="0.00">
                  <c:v>0</c:v>
                </c:pt>
                <c:pt idx="17" formatCode="0.00">
                  <c:v>16.920425531914926</c:v>
                </c:pt>
                <c:pt idx="18" formatCode="0.00">
                  <c:v>18.121246458923547</c:v>
                </c:pt>
                <c:pt idx="19" formatCode="0.00">
                  <c:v>19.649999999999999</c:v>
                </c:pt>
                <c:pt idx="20" formatCode="0.00">
                  <c:v>18.71</c:v>
                </c:pt>
                <c:pt idx="21">
                  <c:v>18.299999999999951</c:v>
                </c:pt>
                <c:pt idx="22" formatCode="0.00">
                  <c:v>25.425342465753445</c:v>
                </c:pt>
                <c:pt idx="23" formatCode="0.00">
                  <c:v>12.457407407407441</c:v>
                </c:pt>
                <c:pt idx="24" formatCode="0.00">
                  <c:v>18.289099526066352</c:v>
                </c:pt>
                <c:pt idx="25" formatCode="0.00">
                  <c:v>19.09</c:v>
                </c:pt>
                <c:pt idx="26" formatCode="0.00">
                  <c:v>24.774999999999995</c:v>
                </c:pt>
                <c:pt idx="27">
                  <c:v>24.949999999999964</c:v>
                </c:pt>
                <c:pt idx="28">
                  <c:v>24.49</c:v>
                </c:pt>
                <c:pt idx="29" formatCode="0.00">
                  <c:v>26.544000000000032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C5-4621-B0A0-B4B715BEDD7B}"/>
            </c:ext>
          </c:extLst>
        </c:ser>
        <c:ser>
          <c:idx val="1"/>
          <c:order val="1"/>
          <c:tx>
            <c:v>Run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'Run 2 Gen 1+2'!$M$5:$M$42</c:f>
              <c:numCache>
                <c:formatCode>0.00</c:formatCode>
                <c:ptCount val="38"/>
                <c:pt idx="0">
                  <c:v>4.0999974880268466</c:v>
                </c:pt>
                <c:pt idx="1">
                  <c:v>7.0099140010570089</c:v>
                </c:pt>
                <c:pt idx="2">
                  <c:v>6.1899362569673242</c:v>
                </c:pt>
                <c:pt idx="3">
                  <c:v>3.7190812710161372</c:v>
                </c:pt>
                <c:pt idx="4">
                  <c:v>5.0295289088561441</c:v>
                </c:pt>
                <c:pt idx="5">
                  <c:v>8.7699948832178318</c:v>
                </c:pt>
                <c:pt idx="6">
                  <c:v>9.4699956269853107</c:v>
                </c:pt>
                <c:pt idx="7">
                  <c:v>9.0799943571033328</c:v>
                </c:pt>
                <c:pt idx="8">
                  <c:v>9.869995536489899</c:v>
                </c:pt>
                <c:pt idx="9">
                  <c:v>5.7799986123239728</c:v>
                </c:pt>
                <c:pt idx="10">
                  <c:v>0.89999872180055562</c:v>
                </c:pt>
                <c:pt idx="11">
                  <c:v>8.3579989264455783</c:v>
                </c:pt>
                <c:pt idx="12">
                  <c:v>2.0965808961670818</c:v>
                </c:pt>
                <c:pt idx="13">
                  <c:v>0.25662437479603645</c:v>
                </c:pt>
                <c:pt idx="14">
                  <c:v>1.3215404066666663</c:v>
                </c:pt>
                <c:pt idx="15">
                  <c:v>1.959250148080808</c:v>
                </c:pt>
                <c:pt idx="16">
                  <c:v>3.63889952248062</c:v>
                </c:pt>
                <c:pt idx="17">
                  <c:v>5.9583040208333333</c:v>
                </c:pt>
                <c:pt idx="18">
                  <c:v>4.5459168909090906</c:v>
                </c:pt>
                <c:pt idx="19">
                  <c:v>5.0079252936170207</c:v>
                </c:pt>
                <c:pt idx="20">
                  <c:v>5.7108919999999994</c:v>
                </c:pt>
                <c:pt idx="21">
                  <c:v>5.1778863438596492</c:v>
                </c:pt>
                <c:pt idx="22">
                  <c:v>5.4230470037735854</c:v>
                </c:pt>
                <c:pt idx="23">
                  <c:v>5.3701496655737708</c:v>
                </c:pt>
                <c:pt idx="24">
                  <c:v>5.1449434074074079</c:v>
                </c:pt>
                <c:pt idx="25">
                  <c:v>5.4002322000000005</c:v>
                </c:pt>
                <c:pt idx="26">
                  <c:v>3.6071058349206351</c:v>
                </c:pt>
                <c:pt idx="27">
                  <c:v>4.9571132352941172</c:v>
                </c:pt>
                <c:pt idx="28">
                  <c:v>1.39</c:v>
                </c:pt>
                <c:pt idx="29">
                  <c:v>4.3354109278911563</c:v>
                </c:pt>
                <c:pt idx="30">
                  <c:v>3.4674861551041669</c:v>
                </c:pt>
                <c:pt idx="31">
                  <c:v>2.7478559999999996</c:v>
                </c:pt>
                <c:pt idx="32">
                  <c:v>2.3161451172413794</c:v>
                </c:pt>
                <c:pt idx="33">
                  <c:v>0.84172000000000002</c:v>
                </c:pt>
                <c:pt idx="34">
                  <c:v>1.0291562666666667</c:v>
                </c:pt>
                <c:pt idx="35">
                  <c:v>1.0374062222222222</c:v>
                </c:pt>
                <c:pt idx="36">
                  <c:v>1.6621696701754385</c:v>
                </c:pt>
                <c:pt idx="37">
                  <c:v>1.5846844444444446</c:v>
                </c:pt>
              </c:numCache>
            </c:numRef>
          </c:xVal>
          <c:yVal>
            <c:numRef>
              <c:f>'Run 2 Gen 1+2'!$E$5:$E$42</c:f>
              <c:numCache>
                <c:formatCode>0.00</c:formatCode>
                <c:ptCount val="38"/>
                <c:pt idx="0">
                  <c:v>16.99811320754721</c:v>
                </c:pt>
                <c:pt idx="1">
                  <c:v>16.026608695652172</c:v>
                </c:pt>
                <c:pt idx="2" formatCode="General">
                  <c:v>16.5</c:v>
                </c:pt>
                <c:pt idx="3">
                  <c:v>16.671428571428542</c:v>
                </c:pt>
                <c:pt idx="4">
                  <c:v>17.366929133858406</c:v>
                </c:pt>
                <c:pt idx="5">
                  <c:v>16.567241379310584</c:v>
                </c:pt>
                <c:pt idx="6">
                  <c:v>17.59237288135586</c:v>
                </c:pt>
                <c:pt idx="7">
                  <c:v>14.410869565217171</c:v>
                </c:pt>
                <c:pt idx="8">
                  <c:v>17.872727272727342</c:v>
                </c:pt>
                <c:pt idx="9">
                  <c:v>18.916483516483702</c:v>
                </c:pt>
                <c:pt idx="10">
                  <c:v>11.230999999999913</c:v>
                </c:pt>
                <c:pt idx="11">
                  <c:v>19.052678571428551</c:v>
                </c:pt>
                <c:pt idx="12">
                  <c:v>23.718867924528382</c:v>
                </c:pt>
                <c:pt idx="13">
                  <c:v>17.451063829787191</c:v>
                </c:pt>
                <c:pt idx="14">
                  <c:v>19.310638297872384</c:v>
                </c:pt>
                <c:pt idx="15">
                  <c:v>22.513636363636341</c:v>
                </c:pt>
                <c:pt idx="16">
                  <c:v>22.390697674418721</c:v>
                </c:pt>
                <c:pt idx="17">
                  <c:v>26.196875000000208</c:v>
                </c:pt>
                <c:pt idx="18">
                  <c:v>28.186363636363719</c:v>
                </c:pt>
                <c:pt idx="19">
                  <c:v>28.363829787233971</c:v>
                </c:pt>
                <c:pt idx="20">
                  <c:v>24.503333333333259</c:v>
                </c:pt>
                <c:pt idx="21">
                  <c:v>23.93333333333328</c:v>
                </c:pt>
                <c:pt idx="22">
                  <c:v>27.126415094339613</c:v>
                </c:pt>
                <c:pt idx="23">
                  <c:v>25.016393442622906</c:v>
                </c:pt>
                <c:pt idx="24">
                  <c:v>29.268888888888721</c:v>
                </c:pt>
                <c:pt idx="25">
                  <c:v>22.75</c:v>
                </c:pt>
                <c:pt idx="26">
                  <c:v>24.019047619047647</c:v>
                </c:pt>
                <c:pt idx="27">
                  <c:v>26.12679738562084</c:v>
                </c:pt>
                <c:pt idx="28">
                  <c:v>12.840000000000003</c:v>
                </c:pt>
                <c:pt idx="29">
                  <c:v>23.085714285714189</c:v>
                </c:pt>
                <c:pt idx="30">
                  <c:v>25.476470588235301</c:v>
                </c:pt>
                <c:pt idx="31">
                  <c:v>22.956666666666731</c:v>
                </c:pt>
                <c:pt idx="32">
                  <c:v>20.306896551724073</c:v>
                </c:pt>
                <c:pt idx="33">
                  <c:v>16.394117647058795</c:v>
                </c:pt>
                <c:pt idx="34">
                  <c:v>15.941176470588244</c:v>
                </c:pt>
                <c:pt idx="35">
                  <c:v>23.074999999999982</c:v>
                </c:pt>
                <c:pt idx="36">
                  <c:v>27.900000000000027</c:v>
                </c:pt>
                <c:pt idx="37">
                  <c:v>28.283333333333335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C5-4621-B0A0-B4B715BEDD7B}"/>
            </c:ext>
          </c:extLst>
        </c:ser>
        <c:ser>
          <c:idx val="2"/>
          <c:order val="2"/>
          <c:tx>
            <c:v>Run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'Run 3 Zeolite  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xVal>
          <c:yVal>
            <c:numRef>
              <c:f>'Run 3 Zeolite  '!$H$5:$H$7</c:f>
              <c:numCache>
                <c:formatCode>General</c:formatCode>
                <c:ptCount val="3"/>
                <c:pt idx="0">
                  <c:v>3.65</c:v>
                </c:pt>
                <c:pt idx="1">
                  <c:v>1.38</c:v>
                </c:pt>
                <c:pt idx="2">
                  <c:v>0.91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C5-4621-B0A0-B4B715BEDD7B}"/>
            </c:ext>
          </c:extLst>
        </c:ser>
        <c:ser>
          <c:idx val="3"/>
          <c:order val="3"/>
          <c:tx>
            <c:v>Run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3399"/>
              </a:solidFill>
              <a:ln w="9525">
                <a:noFill/>
              </a:ln>
              <a:effectLst/>
            </c:spPr>
          </c:marker>
          <c:xVal>
            <c:numRef>
              <c:f>'Run 4 Gen 1 + Zeolite '!$M$5:$M$17</c:f>
              <c:numCache>
                <c:formatCode>0.00</c:formatCode>
                <c:ptCount val="13"/>
                <c:pt idx="0">
                  <c:v>9.1750708072727267</c:v>
                </c:pt>
                <c:pt idx="1">
                  <c:v>3.0425939999999998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xVal>
          <c:yVal>
            <c:numRef>
              <c:f>'Run 4 Gen 1 + Zeolite '!$E$5:$E$17</c:f>
              <c:numCache>
                <c:formatCode>0.00</c:formatCode>
                <c:ptCount val="13"/>
                <c:pt idx="0">
                  <c:v>20.938181818181729</c:v>
                </c:pt>
                <c:pt idx="1">
                  <c:v>15.26923076923072</c:v>
                </c:pt>
                <c:pt idx="2">
                  <c:v>15.39999999999999</c:v>
                </c:pt>
                <c:pt idx="3">
                  <c:v>23.320312500000085</c:v>
                </c:pt>
                <c:pt idx="4">
                  <c:v>27.169230769230737</c:v>
                </c:pt>
                <c:pt idx="5">
                  <c:v>22.317460317460363</c:v>
                </c:pt>
                <c:pt idx="6">
                  <c:v>24.038983050847495</c:v>
                </c:pt>
                <c:pt idx="7">
                  <c:v>23.09852941176468</c:v>
                </c:pt>
                <c:pt idx="8">
                  <c:v>15.622448979591827</c:v>
                </c:pt>
                <c:pt idx="9">
                  <c:v>22.47391304347828</c:v>
                </c:pt>
                <c:pt idx="10">
                  <c:v>21.260869565217362</c:v>
                </c:pt>
                <c:pt idx="11">
                  <c:v>22.272463768116005</c:v>
                </c:pt>
                <c:pt idx="12">
                  <c:v>21.814285714285671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C5-4621-B0A0-B4B715BEDD7B}"/>
            </c:ext>
          </c:extLst>
        </c:ser>
        <c:ser>
          <c:idx val="4"/>
          <c:order val="4"/>
          <c:tx>
            <c:v>Run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93300"/>
              </a:solidFill>
              <a:ln w="9525">
                <a:noFill/>
              </a:ln>
              <a:effectLst/>
            </c:spPr>
          </c:marker>
          <c:x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xVal>
          <c:yVal>
            <c:numRef>
              <c:f>'Run 5 Gen 1+Gen 2.2+ Zeolite'!$E$5:$E$22</c:f>
              <c:numCache>
                <c:formatCode>0.00</c:formatCode>
                <c:ptCount val="18"/>
                <c:pt idx="0">
                  <c:v>24.90000000000008</c:v>
                </c:pt>
                <c:pt idx="1">
                  <c:v>20.498076923077001</c:v>
                </c:pt>
                <c:pt idx="2">
                  <c:v>17.328571428571404</c:v>
                </c:pt>
                <c:pt idx="3">
                  <c:v>23.438095238095311</c:v>
                </c:pt>
                <c:pt idx="4">
                  <c:v>13.688372093023291</c:v>
                </c:pt>
                <c:pt idx="5">
                  <c:v>23.94827586206895</c:v>
                </c:pt>
                <c:pt idx="6">
                  <c:v>17.84999999999998</c:v>
                </c:pt>
                <c:pt idx="7">
                  <c:v>22.911538461538424</c:v>
                </c:pt>
                <c:pt idx="8">
                  <c:v>15.795833333333368</c:v>
                </c:pt>
                <c:pt idx="9">
                  <c:v>24.5</c:v>
                </c:pt>
                <c:pt idx="10">
                  <c:v>24.194999999999951</c:v>
                </c:pt>
                <c:pt idx="11">
                  <c:v>25.264705882352942</c:v>
                </c:pt>
                <c:pt idx="12">
                  <c:v>22.906666666666677</c:v>
                </c:pt>
                <c:pt idx="13">
                  <c:v>24.66956521739127</c:v>
                </c:pt>
                <c:pt idx="14">
                  <c:v>13.361538461538448</c:v>
                </c:pt>
                <c:pt idx="15">
                  <c:v>17.426315789473698</c:v>
                </c:pt>
                <c:pt idx="16">
                  <c:v>14.18571428571429</c:v>
                </c:pt>
                <c:pt idx="17">
                  <c:v>13.866666666666685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C5-4621-B0A0-B4B715BED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334383"/>
        <c:axId val="1316334863"/>
      </c:scatterChart>
      <c:valAx>
        <c:axId val="1316334383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CO2, 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34863"/>
        <c:crosses val="autoZero"/>
        <c:crossBetween val="midCat"/>
      </c:valAx>
      <c:valAx>
        <c:axId val="13163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Q, Nm3/ht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3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Concentration Flue Gas In &amp; CO2 Capture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Run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strRef>
              <c:f>'Run 1 Gen 1 '!$K$7:$K$36</c:f>
              <c:strCache>
                <c:ptCount val="30"/>
                <c:pt idx="0">
                  <c:v>4.0</c:v>
                </c:pt>
                <c:pt idx="1">
                  <c:v>9.9</c:v>
                </c:pt>
                <c:pt idx="2">
                  <c:v>7.0</c:v>
                </c:pt>
                <c:pt idx="3">
                  <c:v>8.1</c:v>
                </c:pt>
                <c:pt idx="4">
                  <c:v>21.5</c:v>
                </c:pt>
                <c:pt idx="5">
                  <c:v>5.5</c:v>
                </c:pt>
                <c:pt idx="6">
                  <c:v>-</c:v>
                </c:pt>
                <c:pt idx="7">
                  <c:v>7.9</c:v>
                </c:pt>
                <c:pt idx="8">
                  <c:v>6.8</c:v>
                </c:pt>
                <c:pt idx="9">
                  <c:v>6.0</c:v>
                </c:pt>
                <c:pt idx="10">
                  <c:v>5.1</c:v>
                </c:pt>
                <c:pt idx="11">
                  <c:v>6.5</c:v>
                </c:pt>
                <c:pt idx="12">
                  <c:v>7.5</c:v>
                </c:pt>
                <c:pt idx="13">
                  <c:v>4.9</c:v>
                </c:pt>
                <c:pt idx="14">
                  <c:v>3.4</c:v>
                </c:pt>
                <c:pt idx="15">
                  <c:v>8.6</c:v>
                </c:pt>
                <c:pt idx="16">
                  <c:v>-</c:v>
                </c:pt>
                <c:pt idx="17">
                  <c:v>6.0</c:v>
                </c:pt>
                <c:pt idx="18">
                  <c:v>4.9</c:v>
                </c:pt>
                <c:pt idx="19">
                  <c:v>9.9</c:v>
                </c:pt>
                <c:pt idx="20">
                  <c:v>4.1</c:v>
                </c:pt>
                <c:pt idx="21">
                  <c:v>3.4</c:v>
                </c:pt>
                <c:pt idx="22">
                  <c:v>5.6</c:v>
                </c:pt>
                <c:pt idx="23">
                  <c:v>3.1</c:v>
                </c:pt>
                <c:pt idx="24">
                  <c:v>2.9</c:v>
                </c:pt>
                <c:pt idx="25">
                  <c:v>3.2</c:v>
                </c:pt>
                <c:pt idx="26">
                  <c:v>3.2</c:v>
                </c:pt>
                <c:pt idx="27">
                  <c:v>3.2</c:v>
                </c:pt>
                <c:pt idx="28">
                  <c:v>9.0</c:v>
                </c:pt>
                <c:pt idx="29">
                  <c:v>3.0</c:v>
                </c:pt>
              </c:strCache>
            </c:strRef>
          </c:xVal>
          <c:yVal>
            <c:numRef>
              <c:f>'Run 1 Gen 1 '!$G$7:$G$36</c:f>
              <c:numCache>
                <c:formatCode>General</c:formatCode>
                <c:ptCount val="30"/>
                <c:pt idx="0">
                  <c:v>14.9</c:v>
                </c:pt>
                <c:pt idx="1">
                  <c:v>14.9</c:v>
                </c:pt>
                <c:pt idx="2">
                  <c:v>14.9</c:v>
                </c:pt>
                <c:pt idx="3">
                  <c:v>14.9</c:v>
                </c:pt>
                <c:pt idx="4">
                  <c:v>14.9</c:v>
                </c:pt>
                <c:pt idx="5">
                  <c:v>14.9</c:v>
                </c:pt>
                <c:pt idx="6">
                  <c:v>14.9</c:v>
                </c:pt>
                <c:pt idx="7">
                  <c:v>14.9</c:v>
                </c:pt>
                <c:pt idx="8">
                  <c:v>14.9</c:v>
                </c:pt>
                <c:pt idx="9">
                  <c:v>14.9</c:v>
                </c:pt>
                <c:pt idx="10">
                  <c:v>14.9</c:v>
                </c:pt>
                <c:pt idx="11">
                  <c:v>14.9</c:v>
                </c:pt>
                <c:pt idx="12">
                  <c:v>14.9</c:v>
                </c:pt>
                <c:pt idx="13">
                  <c:v>14.9</c:v>
                </c:pt>
                <c:pt idx="14">
                  <c:v>14.9</c:v>
                </c:pt>
                <c:pt idx="15">
                  <c:v>14.9</c:v>
                </c:pt>
                <c:pt idx="16">
                  <c:v>14.9</c:v>
                </c:pt>
                <c:pt idx="17">
                  <c:v>14.9</c:v>
                </c:pt>
                <c:pt idx="18">
                  <c:v>14.9</c:v>
                </c:pt>
                <c:pt idx="19">
                  <c:v>14.9</c:v>
                </c:pt>
                <c:pt idx="20">
                  <c:v>14.9</c:v>
                </c:pt>
                <c:pt idx="21">
                  <c:v>14.9</c:v>
                </c:pt>
                <c:pt idx="22">
                  <c:v>14.9</c:v>
                </c:pt>
                <c:pt idx="23">
                  <c:v>14.9</c:v>
                </c:pt>
                <c:pt idx="24">
                  <c:v>14.9</c:v>
                </c:pt>
                <c:pt idx="25">
                  <c:v>14.9</c:v>
                </c:pt>
                <c:pt idx="26">
                  <c:v>14.9</c:v>
                </c:pt>
                <c:pt idx="27">
                  <c:v>14.9</c:v>
                </c:pt>
                <c:pt idx="28">
                  <c:v>14.9</c:v>
                </c:pt>
                <c:pt idx="29">
                  <c:v>14.9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6-4129-A5C5-E9E63CAF801C}"/>
            </c:ext>
          </c:extLst>
        </c:ser>
        <c:ser>
          <c:idx val="0"/>
          <c:order val="1"/>
          <c:tx>
            <c:v>Run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'Run 2 Gen 1+2'!$H$5:$H$42</c:f>
              <c:numCache>
                <c:formatCode>General</c:formatCode>
                <c:ptCount val="38"/>
                <c:pt idx="0">
                  <c:v>4.0999999999999996</c:v>
                </c:pt>
                <c:pt idx="1">
                  <c:v>7.01</c:v>
                </c:pt>
                <c:pt idx="2">
                  <c:v>6.19</c:v>
                </c:pt>
                <c:pt idx="3">
                  <c:v>3.72</c:v>
                </c:pt>
                <c:pt idx="4">
                  <c:v>5.03</c:v>
                </c:pt>
                <c:pt idx="5">
                  <c:v>8.77</c:v>
                </c:pt>
                <c:pt idx="6">
                  <c:v>9.4700000000000006</c:v>
                </c:pt>
                <c:pt idx="7">
                  <c:v>9.08</c:v>
                </c:pt>
                <c:pt idx="8">
                  <c:v>9.8699999999999992</c:v>
                </c:pt>
                <c:pt idx="9">
                  <c:v>5.78</c:v>
                </c:pt>
                <c:pt idx="10">
                  <c:v>0.9</c:v>
                </c:pt>
                <c:pt idx="11">
                  <c:v>8.41</c:v>
                </c:pt>
                <c:pt idx="12">
                  <c:v>2.12</c:v>
                </c:pt>
                <c:pt idx="13">
                  <c:v>0.28000000000000003</c:v>
                </c:pt>
                <c:pt idx="14">
                  <c:v>1.4</c:v>
                </c:pt>
                <c:pt idx="15">
                  <c:v>1.98</c:v>
                </c:pt>
                <c:pt idx="16">
                  <c:v>3.65</c:v>
                </c:pt>
                <c:pt idx="17">
                  <c:v>5.97</c:v>
                </c:pt>
                <c:pt idx="18">
                  <c:v>4.5599999999999996</c:v>
                </c:pt>
                <c:pt idx="19">
                  <c:v>5.0199999999999996</c:v>
                </c:pt>
                <c:pt idx="20">
                  <c:v>5.72</c:v>
                </c:pt>
                <c:pt idx="21">
                  <c:v>5.19</c:v>
                </c:pt>
                <c:pt idx="22">
                  <c:v>5.44</c:v>
                </c:pt>
                <c:pt idx="23">
                  <c:v>5.38</c:v>
                </c:pt>
                <c:pt idx="24">
                  <c:v>5.15</c:v>
                </c:pt>
                <c:pt idx="25">
                  <c:v>5.46</c:v>
                </c:pt>
                <c:pt idx="26">
                  <c:v>3.62</c:v>
                </c:pt>
                <c:pt idx="27">
                  <c:v>4.97</c:v>
                </c:pt>
                <c:pt idx="28">
                  <c:v>1.39</c:v>
                </c:pt>
                <c:pt idx="29">
                  <c:v>4.3499999999999996</c:v>
                </c:pt>
                <c:pt idx="30">
                  <c:v>3.47</c:v>
                </c:pt>
                <c:pt idx="31">
                  <c:v>2.76</c:v>
                </c:pt>
                <c:pt idx="32">
                  <c:v>2.33</c:v>
                </c:pt>
                <c:pt idx="33">
                  <c:v>0.85</c:v>
                </c:pt>
                <c:pt idx="34">
                  <c:v>1.04</c:v>
                </c:pt>
                <c:pt idx="35">
                  <c:v>1.05</c:v>
                </c:pt>
                <c:pt idx="36">
                  <c:v>1.67</c:v>
                </c:pt>
                <c:pt idx="37">
                  <c:v>1.59</c:v>
                </c:pt>
              </c:numCache>
            </c:numRef>
          </c:xVal>
          <c:yVal>
            <c:numRef>
              <c:f>'Run 2 Gen 1+2'!$F$5:$F$42</c:f>
              <c:numCache>
                <c:formatCode>0.0</c:formatCode>
                <c:ptCount val="38"/>
                <c:pt idx="0" formatCode="General">
                  <c:v>14.900000000000006</c:v>
                </c:pt>
                <c:pt idx="1">
                  <c:v>14.899999999999842</c:v>
                </c:pt>
                <c:pt idx="2" formatCode="General">
                  <c:v>14.899999999999874</c:v>
                </c:pt>
                <c:pt idx="3" formatCode="General">
                  <c:v>14.900000000000036</c:v>
                </c:pt>
                <c:pt idx="4" formatCode="General">
                  <c:v>14.899999999999944</c:v>
                </c:pt>
                <c:pt idx="5" formatCode="General">
                  <c:v>14.899999999999807</c:v>
                </c:pt>
                <c:pt idx="6" formatCode="General">
                  <c:v>14.899999999999803</c:v>
                </c:pt>
                <c:pt idx="7" formatCode="General">
                  <c:v>14.899999999999778</c:v>
                </c:pt>
                <c:pt idx="8" formatCode="General">
                  <c:v>14.8999999999998</c:v>
                </c:pt>
                <c:pt idx="9" formatCode="0.00">
                  <c:v>10.977912087912072</c:v>
                </c:pt>
                <c:pt idx="10" formatCode="0.00">
                  <c:v>2.6081000000000087</c:v>
                </c:pt>
                <c:pt idx="11" formatCode="0.00">
                  <c:v>12.873928571428475</c:v>
                </c:pt>
                <c:pt idx="12" formatCode="0.00">
                  <c:v>5.5124528301886784</c:v>
                </c:pt>
                <c:pt idx="13" formatCode="0.00">
                  <c:v>1.1093617021276665</c:v>
                </c:pt>
                <c:pt idx="14" formatCode="0.00">
                  <c:v>5.0225531914893482</c:v>
                </c:pt>
                <c:pt idx="15" formatCode="0.00">
                  <c:v>6.5029924242424659</c:v>
                </c:pt>
                <c:pt idx="16" formatCode="0.00">
                  <c:v>12.370697674418622</c:v>
                </c:pt>
                <c:pt idx="17" formatCode="0.00">
                  <c:v>11.61625000000002</c:v>
                </c:pt>
                <c:pt idx="18" formatCode="0.00">
                  <c:v>11.990454545454499</c:v>
                </c:pt>
                <c:pt idx="19" formatCode="0.00">
                  <c:v>12.268936170212752</c:v>
                </c:pt>
                <c:pt idx="20" formatCode="0.00">
                  <c:v>12.6916666666667</c:v>
                </c:pt>
                <c:pt idx="21" formatCode="0.00">
                  <c:v>12.409473684210559</c:v>
                </c:pt>
                <c:pt idx="22" formatCode="0.00">
                  <c:v>12.34641509433961</c:v>
                </c:pt>
                <c:pt idx="23" formatCode="0.00">
                  <c:v>11.49393442622946</c:v>
                </c:pt>
                <c:pt idx="24" formatCode="0.00">
                  <c:v>12.741111111111087</c:v>
                </c:pt>
                <c:pt idx="25" formatCode="0.00">
                  <c:v>19.550000000000086</c:v>
                </c:pt>
                <c:pt idx="26" formatCode="0.00">
                  <c:v>11.687619047618997</c:v>
                </c:pt>
                <c:pt idx="27" formatCode="0.00">
                  <c:v>12.154803921568615</c:v>
                </c:pt>
                <c:pt idx="28" formatCode="0.00">
                  <c:v>11.806666666666679</c:v>
                </c:pt>
                <c:pt idx="29" formatCode="0.00">
                  <c:v>12.534285714285719</c:v>
                </c:pt>
                <c:pt idx="30" formatCode="0.00">
                  <c:v>13.075937500000004</c:v>
                </c:pt>
                <c:pt idx="31" formatCode="0.00">
                  <c:v>13.086666666666673</c:v>
                </c:pt>
                <c:pt idx="32" formatCode="0.00">
                  <c:v>12.893793103448248</c:v>
                </c:pt>
                <c:pt idx="33" formatCode="0.00">
                  <c:v>9.9641176470588224</c:v>
                </c:pt>
                <c:pt idx="34" formatCode="0.00">
                  <c:v>12.476470588235308</c:v>
                </c:pt>
                <c:pt idx="35" formatCode="0.00">
                  <c:v>12.307499999999983</c:v>
                </c:pt>
                <c:pt idx="36" formatCode="0.00">
                  <c:v>10.265263157894722</c:v>
                </c:pt>
                <c:pt idx="37" formatCode="0.00">
                  <c:v>10.156666666666659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86-4129-A5C5-E9E63CAF801C}"/>
            </c:ext>
          </c:extLst>
        </c:ser>
        <c:ser>
          <c:idx val="1"/>
          <c:order val="2"/>
          <c:tx>
            <c:v>Run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'Run 3 Zeolite  '!$H$5:$H$7</c:f>
              <c:numCache>
                <c:formatCode>General</c:formatCode>
                <c:ptCount val="3"/>
                <c:pt idx="0">
                  <c:v>3.65</c:v>
                </c:pt>
                <c:pt idx="1">
                  <c:v>1.38</c:v>
                </c:pt>
                <c:pt idx="2">
                  <c:v>0.91</c:v>
                </c:pt>
              </c:numCache>
            </c:numRef>
          </c:xVal>
          <c:yVal>
            <c:numRef>
              <c:f>'Run 3 Zeolite  '!$F$5:$F$7</c:f>
              <c:numCache>
                <c:formatCode>0.00</c:formatCode>
                <c:ptCount val="3"/>
                <c:pt idx="0">
                  <c:v>11.80710526315786</c:v>
                </c:pt>
                <c:pt idx="1">
                  <c:v>12.885238095238131</c:v>
                </c:pt>
                <c:pt idx="2">
                  <c:v>12.929999999999991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86-4129-A5C5-E9E63CAF801C}"/>
            </c:ext>
          </c:extLst>
        </c:ser>
        <c:ser>
          <c:idx val="3"/>
          <c:order val="3"/>
          <c:tx>
            <c:v>Run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3399"/>
              </a:solidFill>
              <a:ln w="9525">
                <a:noFill/>
              </a:ln>
              <a:effectLst/>
            </c:spPr>
          </c:marker>
          <c:xVal>
            <c:numRef>
              <c:f>'Run 4 Gen 1 + Zeolite '!$H$5:$H$17</c:f>
              <c:numCache>
                <c:formatCode>General</c:formatCode>
                <c:ptCount val="13"/>
                <c:pt idx="0">
                  <c:v>9.18</c:v>
                </c:pt>
                <c:pt idx="1">
                  <c:v>3.05</c:v>
                </c:pt>
                <c:pt idx="2">
                  <c:v>3.2</c:v>
                </c:pt>
                <c:pt idx="3">
                  <c:v>5.9</c:v>
                </c:pt>
                <c:pt idx="4">
                  <c:v>5.37</c:v>
                </c:pt>
                <c:pt idx="5">
                  <c:v>5.38</c:v>
                </c:pt>
                <c:pt idx="6">
                  <c:v>5.35</c:v>
                </c:pt>
                <c:pt idx="7">
                  <c:v>6.06</c:v>
                </c:pt>
                <c:pt idx="8">
                  <c:v>3.42</c:v>
                </c:pt>
                <c:pt idx="9">
                  <c:v>3.72</c:v>
                </c:pt>
                <c:pt idx="10">
                  <c:v>5.18</c:v>
                </c:pt>
                <c:pt idx="11">
                  <c:v>5.36</c:v>
                </c:pt>
                <c:pt idx="12">
                  <c:v>4.84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186-4129-A5C5-E9E63CAF801C}"/>
            </c:ext>
          </c:extLst>
        </c:ser>
        <c:ser>
          <c:idx val="4"/>
          <c:order val="4"/>
          <c:tx>
            <c:v>Run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93300"/>
              </a:solidFill>
              <a:ln w="9525">
                <a:noFill/>
              </a:ln>
              <a:effectLst/>
            </c:spPr>
          </c:marker>
          <c:xVal>
            <c:numRef>
              <c:f>'Run 5 Gen 1+Gen 2.2+ Zeolite'!$H$5:$H$22</c:f>
              <c:numCache>
                <c:formatCode>General</c:formatCode>
                <c:ptCount val="18"/>
                <c:pt idx="0">
                  <c:v>3.69</c:v>
                </c:pt>
                <c:pt idx="1">
                  <c:v>3.6</c:v>
                </c:pt>
                <c:pt idx="2">
                  <c:v>2.4500000000000002</c:v>
                </c:pt>
                <c:pt idx="3">
                  <c:v>5.81</c:v>
                </c:pt>
                <c:pt idx="4">
                  <c:v>2.0099999999999998</c:v>
                </c:pt>
                <c:pt idx="5">
                  <c:v>2.91</c:v>
                </c:pt>
                <c:pt idx="6">
                  <c:v>1.73</c:v>
                </c:pt>
                <c:pt idx="7">
                  <c:v>2.58</c:v>
                </c:pt>
                <c:pt idx="8">
                  <c:v>1.56</c:v>
                </c:pt>
                <c:pt idx="9">
                  <c:v>2.42</c:v>
                </c:pt>
                <c:pt idx="10">
                  <c:v>2.0699999999999998</c:v>
                </c:pt>
                <c:pt idx="11">
                  <c:v>1.84</c:v>
                </c:pt>
                <c:pt idx="12">
                  <c:v>1.49</c:v>
                </c:pt>
                <c:pt idx="13">
                  <c:v>2.02</c:v>
                </c:pt>
                <c:pt idx="14">
                  <c:v>0.73</c:v>
                </c:pt>
                <c:pt idx="15">
                  <c:v>1.4</c:v>
                </c:pt>
                <c:pt idx="16">
                  <c:v>0.85</c:v>
                </c:pt>
                <c:pt idx="17">
                  <c:v>0.93</c:v>
                </c:pt>
              </c:numCache>
            </c:numRef>
          </c:xVal>
          <c:yVal>
            <c:numRef>
              <c:f>'Run 5 Gen 1+Gen 2.2+ Zeolite'!$F$5:$F$22</c:f>
              <c:numCache>
                <c:formatCode>0.00</c:formatCode>
                <c:ptCount val="18"/>
                <c:pt idx="0">
                  <c:v>11.772439024390208</c:v>
                </c:pt>
                <c:pt idx="1">
                  <c:v>11.000961538461512</c:v>
                </c:pt>
                <c:pt idx="2">
                  <c:v>10.969047619047599</c:v>
                </c:pt>
                <c:pt idx="3">
                  <c:v>19.261904761904766</c:v>
                </c:pt>
                <c:pt idx="4">
                  <c:v>11.988837209302313</c:v>
                </c:pt>
                <c:pt idx="5">
                  <c:v>13.65172413793103</c:v>
                </c:pt>
                <c:pt idx="6">
                  <c:v>14.334999999999948</c:v>
                </c:pt>
                <c:pt idx="7">
                  <c:v>14.148076923076914</c:v>
                </c:pt>
                <c:pt idx="8">
                  <c:v>13.433749999999996</c:v>
                </c:pt>
                <c:pt idx="9">
                  <c:v>14.001304347826096</c:v>
                </c:pt>
                <c:pt idx="10">
                  <c:v>13.953000000000008</c:v>
                </c:pt>
                <c:pt idx="11">
                  <c:v>14</c:v>
                </c:pt>
                <c:pt idx="12">
                  <c:v>14.093333333333327</c:v>
                </c:pt>
                <c:pt idx="13">
                  <c:v>11.583913043478271</c:v>
                </c:pt>
                <c:pt idx="14">
                  <c:v>13.692307692307704</c:v>
                </c:pt>
                <c:pt idx="15">
                  <c:v>13.799999999999972</c:v>
                </c:pt>
                <c:pt idx="16">
                  <c:v>13.878571428571409</c:v>
                </c:pt>
                <c:pt idx="17" formatCode="General">
                  <c:v>12.099999999999993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86-4129-A5C5-E9E63CAF8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735727"/>
        <c:axId val="2078736687"/>
      </c:scatterChart>
      <c:valAx>
        <c:axId val="2078735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CO2, 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36687"/>
        <c:crosses val="autoZero"/>
        <c:crossBetween val="midCat"/>
      </c:valAx>
      <c:valAx>
        <c:axId val="20787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In,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3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</a:t>
            </a:r>
            <a:r>
              <a:rPr lang="en-US" baseline="-25000"/>
              <a:t>2 </a:t>
            </a:r>
            <a:r>
              <a:rPr lang="en-US"/>
              <a:t>Out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91161472295017"/>
          <c:y val="0.10237237237237239"/>
          <c:w val="0.82619530517558115"/>
          <c:h val="0.74996973351304064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242-4613-BA86-3A1299DAC258}"/>
              </c:ext>
            </c:extLst>
          </c:dPt>
          <c:dPt>
            <c:idx val="1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242-4613-BA86-3A1299DAC258}"/>
              </c:ext>
            </c:extLst>
          </c:dPt>
          <c:dPt>
            <c:idx val="2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242-4613-BA86-3A1299DAC258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242-4613-BA86-3A1299DAC258}"/>
              </c:ext>
            </c:extLst>
          </c:dPt>
          <c:dPt>
            <c:idx val="4"/>
            <c:invertIfNegative val="1"/>
            <c:bubble3D val="0"/>
            <c:spPr>
              <a:solidFill>
                <a:srgbClr val="9933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242-4613-BA86-3A1299DAC25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'All Run'!$H$3:$H$7</c:f>
              <c:strCache>
                <c:ptCount val="5"/>
                <c:pt idx="0">
                  <c:v>Run 1 Gen 1</c:v>
                </c:pt>
                <c:pt idx="1">
                  <c:v>Run 2 Gen 1+2</c:v>
                </c:pt>
                <c:pt idx="2">
                  <c:v>Run 3 Zeolite</c:v>
                </c:pt>
                <c:pt idx="3">
                  <c:v>Run 4 Gen 1 + Zeolite</c:v>
                </c:pt>
                <c:pt idx="4">
                  <c:v>Run 5 Gen 1 + Gen 2.2 + Zeolite</c:v>
                </c:pt>
              </c:strCache>
            </c:strRef>
          </c:cat>
          <c:val>
            <c:numRef>
              <c:f>'All Run'!$I$3:$I$7</c:f>
              <c:numCache>
                <c:formatCode>0.00</c:formatCode>
                <c:ptCount val="5"/>
                <c:pt idx="0">
                  <c:v>1.4E-2</c:v>
                </c:pt>
                <c:pt idx="1">
                  <c:v>0.48</c:v>
                </c:pt>
                <c:pt idx="2">
                  <c:v>7.6999999999999999E-2</c:v>
                </c:pt>
                <c:pt idx="3">
                  <c:v>0.106</c:v>
                </c:pt>
                <c:pt idx="4">
                  <c:v>0.215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A242-4613-BA86-3A1299DA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513043"/>
        <c:axId val="1314416640"/>
      </c:barChart>
      <c:catAx>
        <c:axId val="3985130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314416640"/>
        <c:crosses val="autoZero"/>
        <c:auto val="1"/>
        <c:lblAlgn val="ctr"/>
        <c:lblOffset val="100"/>
        <c:noMultiLvlLbl val="1"/>
      </c:catAx>
      <c:valAx>
        <c:axId val="1314416640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(Kg)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crossAx val="398513043"/>
        <c:crosses val="max"/>
        <c:crossBetween val="between"/>
        <c:majorUnit val="1"/>
      </c:valAx>
    </c:plotArea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
Hour Cumulative Run 5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'All Run w Tables'!$D$5:$D$106</c:f>
              <c:numCache>
                <c:formatCode>[h]:mm</c:formatCode>
                <c:ptCount val="102"/>
                <c:pt idx="0" formatCode="h:mm">
                  <c:v>0.27916666666666667</c:v>
                </c:pt>
                <c:pt idx="1">
                  <c:v>0.61388888888888893</c:v>
                </c:pt>
                <c:pt idx="2">
                  <c:v>0.86111111111111116</c:v>
                </c:pt>
                <c:pt idx="3">
                  <c:v>1.1416666666666666</c:v>
                </c:pt>
                <c:pt idx="4">
                  <c:v>1.4138888888888888</c:v>
                </c:pt>
                <c:pt idx="5">
                  <c:v>1.6354166666666665</c:v>
                </c:pt>
                <c:pt idx="6">
                  <c:v>1.9319444444444442</c:v>
                </c:pt>
                <c:pt idx="7">
                  <c:v>2.2041666666666666</c:v>
                </c:pt>
                <c:pt idx="8">
                  <c:v>2.4520833333333334</c:v>
                </c:pt>
                <c:pt idx="9">
                  <c:v>2.7062499999999998</c:v>
                </c:pt>
                <c:pt idx="10">
                  <c:v>2.9298611111111108</c:v>
                </c:pt>
                <c:pt idx="11">
                  <c:v>3.1451388888888885</c:v>
                </c:pt>
                <c:pt idx="12">
                  <c:v>3.3979166666666663</c:v>
                </c:pt>
                <c:pt idx="13">
                  <c:v>3.6708333333333329</c:v>
                </c:pt>
                <c:pt idx="14">
                  <c:v>3.8902777777777775</c:v>
                </c:pt>
                <c:pt idx="15">
                  <c:v>4.1611111111111105</c:v>
                </c:pt>
                <c:pt idx="16">
                  <c:v>4.3458333333333332</c:v>
                </c:pt>
                <c:pt idx="17">
                  <c:v>4.5874999999999995</c:v>
                </c:pt>
                <c:pt idx="18">
                  <c:v>4.8104166666666659</c:v>
                </c:pt>
                <c:pt idx="19">
                  <c:v>5.0270833333333327</c:v>
                </c:pt>
                <c:pt idx="20">
                  <c:v>5.2048611111111107</c:v>
                </c:pt>
                <c:pt idx="21">
                  <c:v>5.4097222222222214</c:v>
                </c:pt>
                <c:pt idx="22">
                  <c:v>5.6256944444444432</c:v>
                </c:pt>
                <c:pt idx="23">
                  <c:v>5.8534722222222211</c:v>
                </c:pt>
                <c:pt idx="24">
                  <c:v>6.0659722222222214</c:v>
                </c:pt>
                <c:pt idx="25">
                  <c:v>6.3055555555555545</c:v>
                </c:pt>
                <c:pt idx="26">
                  <c:v>6.5048611111111097</c:v>
                </c:pt>
                <c:pt idx="27">
                  <c:v>6.7256944444444429</c:v>
                </c:pt>
                <c:pt idx="28">
                  <c:v>6.9805555555555543</c:v>
                </c:pt>
                <c:pt idx="29">
                  <c:v>7.1701388888888875</c:v>
                </c:pt>
                <c:pt idx="30">
                  <c:v>7.3979166666666654</c:v>
                </c:pt>
                <c:pt idx="31">
                  <c:v>7.622916666666665</c:v>
                </c:pt>
                <c:pt idx="32">
                  <c:v>7.935416666666665</c:v>
                </c:pt>
                <c:pt idx="33">
                  <c:v>8.1520833333333318</c:v>
                </c:pt>
                <c:pt idx="34">
                  <c:v>8.37222222222222</c:v>
                </c:pt>
                <c:pt idx="35">
                  <c:v>8.6416666666666639</c:v>
                </c:pt>
                <c:pt idx="36">
                  <c:v>8.9298611111111086</c:v>
                </c:pt>
                <c:pt idx="37">
                  <c:v>9.1999999999999975</c:v>
                </c:pt>
                <c:pt idx="38">
                  <c:v>9.4638888888888868</c:v>
                </c:pt>
                <c:pt idx="39">
                  <c:v>9.6986111111111093</c:v>
                </c:pt>
                <c:pt idx="40">
                  <c:v>9.9513888888888875</c:v>
                </c:pt>
                <c:pt idx="41">
                  <c:v>10.206944444444442</c:v>
                </c:pt>
                <c:pt idx="42">
                  <c:v>10.438194444444441</c:v>
                </c:pt>
                <c:pt idx="43">
                  <c:v>10.64583333333333</c:v>
                </c:pt>
                <c:pt idx="44">
                  <c:v>10.863194444444442</c:v>
                </c:pt>
                <c:pt idx="45">
                  <c:v>11.068749999999998</c:v>
                </c:pt>
                <c:pt idx="46">
                  <c:v>11.279861111111108</c:v>
                </c:pt>
                <c:pt idx="47">
                  <c:v>11.504861111111108</c:v>
                </c:pt>
                <c:pt idx="48">
                  <c:v>11.716666666666663</c:v>
                </c:pt>
                <c:pt idx="49">
                  <c:v>11.929166666666664</c:v>
                </c:pt>
                <c:pt idx="50">
                  <c:v>12.140972222222219</c:v>
                </c:pt>
                <c:pt idx="51">
                  <c:v>12.356249999999998</c:v>
                </c:pt>
                <c:pt idx="52">
                  <c:v>12.572916666666664</c:v>
                </c:pt>
                <c:pt idx="53">
                  <c:v>12.795138888888886</c:v>
                </c:pt>
                <c:pt idx="54">
                  <c:v>13.013888888888886</c:v>
                </c:pt>
                <c:pt idx="55">
                  <c:v>13.301388888888885</c:v>
                </c:pt>
                <c:pt idx="56">
                  <c:v>13.513194444444441</c:v>
                </c:pt>
                <c:pt idx="57">
                  <c:v>13.733333333333329</c:v>
                </c:pt>
                <c:pt idx="58">
                  <c:v>13.947222222222218</c:v>
                </c:pt>
                <c:pt idx="59">
                  <c:v>14.199305555555551</c:v>
                </c:pt>
                <c:pt idx="60">
                  <c:v>14.409027777777773</c:v>
                </c:pt>
                <c:pt idx="61">
                  <c:v>14.622916666666661</c:v>
                </c:pt>
                <c:pt idx="62">
                  <c:v>14.87430555555555</c:v>
                </c:pt>
                <c:pt idx="63">
                  <c:v>15.11180555555555</c:v>
                </c:pt>
                <c:pt idx="64">
                  <c:v>15.301388888888884</c:v>
                </c:pt>
                <c:pt idx="65">
                  <c:v>15.518749999999995</c:v>
                </c:pt>
                <c:pt idx="66">
                  <c:v>15.80694444444444</c:v>
                </c:pt>
                <c:pt idx="67">
                  <c:v>16.05694444444444</c:v>
                </c:pt>
                <c:pt idx="68">
                  <c:v>16.261805555555551</c:v>
                </c:pt>
                <c:pt idx="69">
                  <c:v>16.395833333333329</c:v>
                </c:pt>
                <c:pt idx="70">
                  <c:v>16.578472222222217</c:v>
                </c:pt>
                <c:pt idx="71">
                  <c:v>16.813888888888883</c:v>
                </c:pt>
                <c:pt idx="72">
                  <c:v>16.986805555555549</c:v>
                </c:pt>
                <c:pt idx="73">
                  <c:v>17.206249999999994</c:v>
                </c:pt>
                <c:pt idx="74">
                  <c:v>17.404861111111106</c:v>
                </c:pt>
                <c:pt idx="75">
                  <c:v>17.679166666666664</c:v>
                </c:pt>
                <c:pt idx="76">
                  <c:v>17.935416666666665</c:v>
                </c:pt>
                <c:pt idx="77">
                  <c:v>18.085416666666664</c:v>
                </c:pt>
                <c:pt idx="78">
                  <c:v>18.353472222222219</c:v>
                </c:pt>
                <c:pt idx="79">
                  <c:v>18.677777777777774</c:v>
                </c:pt>
                <c:pt idx="80">
                  <c:v>18.905555555555551</c:v>
                </c:pt>
                <c:pt idx="81">
                  <c:v>19.168749999999996</c:v>
                </c:pt>
                <c:pt idx="82">
                  <c:v>19.415972222222219</c:v>
                </c:pt>
                <c:pt idx="83">
                  <c:v>19.65069444444444</c:v>
                </c:pt>
                <c:pt idx="84">
                  <c:v>19.879861111111108</c:v>
                </c:pt>
                <c:pt idx="85">
                  <c:v>20.15069444444444</c:v>
                </c:pt>
                <c:pt idx="86">
                  <c:v>20.441666666666663</c:v>
                </c:pt>
                <c:pt idx="87">
                  <c:v>20.80694444444444</c:v>
                </c:pt>
                <c:pt idx="88">
                  <c:v>21.123611111111106</c:v>
                </c:pt>
                <c:pt idx="89">
                  <c:v>21.43055555555555</c:v>
                </c:pt>
                <c:pt idx="90">
                  <c:v>21.746527777777771</c:v>
                </c:pt>
                <c:pt idx="91">
                  <c:v>22.024999999999995</c:v>
                </c:pt>
                <c:pt idx="92">
                  <c:v>22.297916666666662</c:v>
                </c:pt>
                <c:pt idx="93">
                  <c:v>22.624305555555551</c:v>
                </c:pt>
                <c:pt idx="94">
                  <c:v>22.909722222222218</c:v>
                </c:pt>
                <c:pt idx="95">
                  <c:v>23.217361111111106</c:v>
                </c:pt>
                <c:pt idx="96">
                  <c:v>23.487499999999994</c:v>
                </c:pt>
                <c:pt idx="97">
                  <c:v>23.818055555555549</c:v>
                </c:pt>
                <c:pt idx="98">
                  <c:v>24.099305555555549</c:v>
                </c:pt>
                <c:pt idx="99">
                  <c:v>24.359027777777772</c:v>
                </c:pt>
                <c:pt idx="100">
                  <c:v>24.58541666666666</c:v>
                </c:pt>
                <c:pt idx="101">
                  <c:v>24.888888888888882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A-4242-ADAD-2FCED3A37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367449"/>
        <c:axId val="145826630"/>
      </c:lineChart>
      <c:catAx>
        <c:axId val="102936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auto val="1"/>
        <c:lblAlgn val="ctr"/>
        <c:lblOffset val="100"/>
        <c:noMultiLvlLbl val="1"/>
      </c:catAx>
      <c:valAx>
        <c:axId val="145826630"/>
        <c:scaling>
          <c:orientation val="minMax"/>
          <c:max val="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Captured Run 5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Co2 Captured Run 5 Cumulative</c:v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'All Run w Tables'!$N$5:$N$106</c:f>
              <c:numCache>
                <c:formatCode>0.00</c:formatCode>
                <c:ptCount val="102"/>
                <c:pt idx="0">
                  <c:v>3.9653398399999999</c:v>
                </c:pt>
                <c:pt idx="1">
                  <c:v>13.835545041778303</c:v>
                </c:pt>
                <c:pt idx="2">
                  <c:v>20.846784081778306</c:v>
                </c:pt>
                <c:pt idx="3">
                  <c:v>28.96049183450053</c:v>
                </c:pt>
                <c:pt idx="4">
                  <c:v>50.41493292783386</c:v>
                </c:pt>
                <c:pt idx="5">
                  <c:v>55.894888021559787</c:v>
                </c:pt>
                <c:pt idx="6">
                  <c:v>55.894888021559787</c:v>
                </c:pt>
                <c:pt idx="7">
                  <c:v>63.799697658324739</c:v>
                </c:pt>
                <c:pt idx="8">
                  <c:v>70.595157452423393</c:v>
                </c:pt>
                <c:pt idx="9">
                  <c:v>76.583067296103181</c:v>
                </c:pt>
                <c:pt idx="10">
                  <c:v>81.654869560106107</c:v>
                </c:pt>
                <c:pt idx="11">
                  <c:v>88.112006158938499</c:v>
                </c:pt>
                <c:pt idx="12">
                  <c:v>95.647547947376239</c:v>
                </c:pt>
                <c:pt idx="13">
                  <c:v>100.53320218099059</c:v>
                </c:pt>
                <c:pt idx="14">
                  <c:v>103.91342692765726</c:v>
                </c:pt>
                <c:pt idx="15">
                  <c:v>112.53370753158967</c:v>
                </c:pt>
                <c:pt idx="16">
                  <c:v>112.53370753158967</c:v>
                </c:pt>
                <c:pt idx="17">
                  <c:v>118.57642945292292</c:v>
                </c:pt>
                <c:pt idx="18">
                  <c:v>123.43348185700091</c:v>
                </c:pt>
                <c:pt idx="19">
                  <c:v>133.30939690233424</c:v>
                </c:pt>
                <c:pt idx="20">
                  <c:v>137.41084522233425</c:v>
                </c:pt>
                <c:pt idx="21">
                  <c:v>140.76931568458272</c:v>
                </c:pt>
                <c:pt idx="22">
                  <c:v>146.40359809589265</c:v>
                </c:pt>
                <c:pt idx="23">
                  <c:v>149.4663587355036</c:v>
                </c:pt>
                <c:pt idx="24">
                  <c:v>152.3911096441112</c:v>
                </c:pt>
                <c:pt idx="25">
                  <c:v>155.54594291166225</c:v>
                </c:pt>
                <c:pt idx="26">
                  <c:v>158.6967197325599</c:v>
                </c:pt>
                <c:pt idx="27">
                  <c:v>161.86971327444456</c:v>
                </c:pt>
                <c:pt idx="28">
                  <c:v>170.88126116444457</c:v>
                </c:pt>
                <c:pt idx="29">
                  <c:v>173.89309790047304</c:v>
                </c:pt>
                <c:pt idx="30">
                  <c:v>4.0999974880268466</c:v>
                </c:pt>
                <c:pt idx="31">
                  <c:v>11.109911489083856</c:v>
                </c:pt>
                <c:pt idx="32">
                  <c:v>17.299847746051181</c:v>
                </c:pt>
                <c:pt idx="33">
                  <c:v>21.018929017067318</c:v>
                </c:pt>
                <c:pt idx="34">
                  <c:v>26.048457925923461</c:v>
                </c:pt>
                <c:pt idx="35">
                  <c:v>34.818452809141291</c:v>
                </c:pt>
                <c:pt idx="36">
                  <c:v>44.2884484361266</c:v>
                </c:pt>
                <c:pt idx="37">
                  <c:v>53.368442793229931</c:v>
                </c:pt>
                <c:pt idx="38">
                  <c:v>63.238438329719827</c:v>
                </c:pt>
                <c:pt idx="39">
                  <c:v>69.018436942043806</c:v>
                </c:pt>
                <c:pt idx="40">
                  <c:v>69.918435663844363</c:v>
                </c:pt>
                <c:pt idx="41">
                  <c:v>78.276434590289938</c:v>
                </c:pt>
                <c:pt idx="42">
                  <c:v>80.373015486457021</c:v>
                </c:pt>
                <c:pt idx="43">
                  <c:v>80.629639861253054</c:v>
                </c:pt>
                <c:pt idx="44">
                  <c:v>81.951180267919725</c:v>
                </c:pt>
                <c:pt idx="45">
                  <c:v>83.910430416000537</c:v>
                </c:pt>
                <c:pt idx="46">
                  <c:v>87.549329938481151</c:v>
                </c:pt>
                <c:pt idx="47">
                  <c:v>93.507633959314489</c:v>
                </c:pt>
                <c:pt idx="48">
                  <c:v>98.053550850223587</c:v>
                </c:pt>
                <c:pt idx="49">
                  <c:v>103.06147614384061</c:v>
                </c:pt>
                <c:pt idx="50">
                  <c:v>108.77236814384061</c:v>
                </c:pt>
                <c:pt idx="51">
                  <c:v>113.95025448770026</c:v>
                </c:pt>
                <c:pt idx="52">
                  <c:v>119.37330149147385</c:v>
                </c:pt>
                <c:pt idx="53">
                  <c:v>124.74345115704763</c:v>
                </c:pt>
                <c:pt idx="54">
                  <c:v>129.88839456445504</c:v>
                </c:pt>
                <c:pt idx="55">
                  <c:v>135.28862676445505</c:v>
                </c:pt>
                <c:pt idx="56">
                  <c:v>138.89573259937569</c:v>
                </c:pt>
                <c:pt idx="57">
                  <c:v>143.85284583466981</c:v>
                </c:pt>
                <c:pt idx="58">
                  <c:v>145.24284583466979</c:v>
                </c:pt>
                <c:pt idx="59">
                  <c:v>149.57825676256095</c:v>
                </c:pt>
                <c:pt idx="60">
                  <c:v>153.04574291766511</c:v>
                </c:pt>
                <c:pt idx="61">
                  <c:v>155.79359891766512</c:v>
                </c:pt>
                <c:pt idx="62">
                  <c:v>158.1097440349065</c:v>
                </c:pt>
                <c:pt idx="63">
                  <c:v>158.95146403490651</c:v>
                </c:pt>
                <c:pt idx="64">
                  <c:v>159.98062030157317</c:v>
                </c:pt>
                <c:pt idx="65">
                  <c:v>161.01802652379538</c:v>
                </c:pt>
                <c:pt idx="66">
                  <c:v>162.68019619397083</c:v>
                </c:pt>
                <c:pt idx="67">
                  <c:v>164.26488063841526</c:v>
                </c:pt>
                <c:pt idx="68">
                  <c:v>3.6433921403508771</c:v>
                </c:pt>
                <c:pt idx="69">
                  <c:v>4.9565592514619876</c:v>
                </c:pt>
                <c:pt idx="70">
                  <c:v>5.8627361403508766</c:v>
                </c:pt>
                <c:pt idx="71">
                  <c:v>9.1750708072727267</c:v>
                </c:pt>
                <c:pt idx="72">
                  <c:v>12.217664807272726</c:v>
                </c:pt>
                <c:pt idx="73">
                  <c:v>15.409082622657342</c:v>
                </c:pt>
                <c:pt idx="74">
                  <c:v>21.298797022657343</c:v>
                </c:pt>
                <c:pt idx="75">
                  <c:v>26.663165325221446</c:v>
                </c:pt>
                <c:pt idx="76">
                  <c:v>32.035974429983348</c:v>
                </c:pt>
                <c:pt idx="77">
                  <c:v>37.380563426593518</c:v>
                </c:pt>
                <c:pt idx="78">
                  <c:v>43.430724838358223</c:v>
                </c:pt>
                <c:pt idx="79">
                  <c:v>46.84348406284802</c:v>
                </c:pt>
                <c:pt idx="80">
                  <c:v>50.558976062848018</c:v>
                </c:pt>
                <c:pt idx="81">
                  <c:v>55.725085262848019</c:v>
                </c:pt>
                <c:pt idx="82">
                  <c:v>61.07119446284802</c:v>
                </c:pt>
                <c:pt idx="83">
                  <c:v>65.90408446919723</c:v>
                </c:pt>
                <c:pt idx="84">
                  <c:v>3.6769158048780488</c:v>
                </c:pt>
                <c:pt idx="85">
                  <c:v>7.5473859220512818</c:v>
                </c:pt>
                <c:pt idx="86">
                  <c:v>9.9924867030036637</c:v>
                </c:pt>
                <c:pt idx="87">
                  <c:v>15.797667655384615</c:v>
                </c:pt>
                <c:pt idx="88">
                  <c:v>17.798623984066786</c:v>
                </c:pt>
                <c:pt idx="89">
                  <c:v>20.698572508204716</c:v>
                </c:pt>
                <c:pt idx="90">
                  <c:v>22.417671902144111</c:v>
                </c:pt>
                <c:pt idx="91">
                  <c:v>24.985500302144111</c:v>
                </c:pt>
                <c:pt idx="92">
                  <c:v>26.53142430214411</c:v>
                </c:pt>
                <c:pt idx="93">
                  <c:v>28.93149710214411</c:v>
                </c:pt>
                <c:pt idx="94">
                  <c:v>30.98449550214411</c:v>
                </c:pt>
                <c:pt idx="95">
                  <c:v>32.813995235477442</c:v>
                </c:pt>
                <c:pt idx="96">
                  <c:v>34.292072035477439</c:v>
                </c:pt>
                <c:pt idx="97">
                  <c:v>36.293672035477442</c:v>
                </c:pt>
                <c:pt idx="98">
                  <c:v>37.013018435477441</c:v>
                </c:pt>
                <c:pt idx="99">
                  <c:v>38.401880302144107</c:v>
                </c:pt>
                <c:pt idx="100">
                  <c:v>39.23814163547744</c:v>
                </c:pt>
                <c:pt idx="101">
                  <c:v>40.163132746588552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A-41F7-8CC4-B6F569C10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72841"/>
        <c:axId val="526947075"/>
      </c:lineChart>
      <c:catAx>
        <c:axId val="19987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auto val="1"/>
        <c:lblAlgn val="ctr"/>
        <c:lblOffset val="100"/>
        <c:noMultiLvlLbl val="1"/>
      </c:cat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between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Run 5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3104604452463369"/>
          <c:y val="1.948503827418232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mpd="sng">
              <a:solidFill>
                <a:srgbClr val="0070C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1.7004474689729786E-2"/>
                  <c:y val="-0.63526791927627002"/>
                </c:manualLayout>
              </c:layout>
              <c:numFmt formatCode="General" sourceLinked="0"/>
            </c:trendlineLbl>
          </c:trendline>
          <c:val>
            <c:numRef>
              <c:f>'All Run w Tables'!$M$5:$M$106</c:f>
              <c:numCache>
                <c:formatCode>0.00</c:formatCode>
                <c:ptCount val="102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  <c:pt idx="30">
                  <c:v>4.0999974880268466</c:v>
                </c:pt>
                <c:pt idx="31">
                  <c:v>7.0099140010570089</c:v>
                </c:pt>
                <c:pt idx="32">
                  <c:v>6.1899362569673242</c:v>
                </c:pt>
                <c:pt idx="33">
                  <c:v>3.7190812710161372</c:v>
                </c:pt>
                <c:pt idx="34">
                  <c:v>5.0295289088561441</c:v>
                </c:pt>
                <c:pt idx="35">
                  <c:v>8.7699948832178318</c:v>
                </c:pt>
                <c:pt idx="36">
                  <c:v>9.4699956269853107</c:v>
                </c:pt>
                <c:pt idx="37">
                  <c:v>9.0799943571033328</c:v>
                </c:pt>
                <c:pt idx="38">
                  <c:v>9.869995536489899</c:v>
                </c:pt>
                <c:pt idx="39">
                  <c:v>5.7799986123239728</c:v>
                </c:pt>
                <c:pt idx="40">
                  <c:v>0.89999872180055562</c:v>
                </c:pt>
                <c:pt idx="41">
                  <c:v>8.3579989264455783</c:v>
                </c:pt>
                <c:pt idx="42">
                  <c:v>2.0965808961670818</c:v>
                </c:pt>
                <c:pt idx="43">
                  <c:v>0.25662437479603645</c:v>
                </c:pt>
                <c:pt idx="44">
                  <c:v>1.3215404066666663</c:v>
                </c:pt>
                <c:pt idx="45">
                  <c:v>1.959250148080808</c:v>
                </c:pt>
                <c:pt idx="46">
                  <c:v>3.63889952248062</c:v>
                </c:pt>
                <c:pt idx="47">
                  <c:v>5.9583040208333333</c:v>
                </c:pt>
                <c:pt idx="48">
                  <c:v>4.5459168909090906</c:v>
                </c:pt>
                <c:pt idx="49">
                  <c:v>5.0079252936170207</c:v>
                </c:pt>
                <c:pt idx="50">
                  <c:v>5.7108919999999994</c:v>
                </c:pt>
                <c:pt idx="51">
                  <c:v>5.1778863438596492</c:v>
                </c:pt>
                <c:pt idx="52">
                  <c:v>5.4230470037735854</c:v>
                </c:pt>
                <c:pt idx="53">
                  <c:v>5.3701496655737708</c:v>
                </c:pt>
                <c:pt idx="54">
                  <c:v>5.1449434074074079</c:v>
                </c:pt>
                <c:pt idx="55">
                  <c:v>5.4002322000000005</c:v>
                </c:pt>
                <c:pt idx="56">
                  <c:v>3.6071058349206351</c:v>
                </c:pt>
                <c:pt idx="57">
                  <c:v>4.9571132352941172</c:v>
                </c:pt>
                <c:pt idx="58">
                  <c:v>1.39</c:v>
                </c:pt>
                <c:pt idx="59">
                  <c:v>4.3354109278911563</c:v>
                </c:pt>
                <c:pt idx="60">
                  <c:v>3.4674861551041669</c:v>
                </c:pt>
                <c:pt idx="61">
                  <c:v>2.7478559999999996</c:v>
                </c:pt>
                <c:pt idx="62">
                  <c:v>2.3161451172413794</c:v>
                </c:pt>
                <c:pt idx="63">
                  <c:v>0.84172000000000002</c:v>
                </c:pt>
                <c:pt idx="64">
                  <c:v>1.0291562666666667</c:v>
                </c:pt>
                <c:pt idx="65">
                  <c:v>1.0374062222222222</c:v>
                </c:pt>
                <c:pt idx="66">
                  <c:v>1.6621696701754385</c:v>
                </c:pt>
                <c:pt idx="67">
                  <c:v>1.5846844444444446</c:v>
                </c:pt>
                <c:pt idx="68">
                  <c:v>3.6433921403508771</c:v>
                </c:pt>
                <c:pt idx="69">
                  <c:v>1.313167111111111</c:v>
                </c:pt>
                <c:pt idx="70">
                  <c:v>0.90617688888888892</c:v>
                </c:pt>
                <c:pt idx="71">
                  <c:v>9.1750708072727267</c:v>
                </c:pt>
                <c:pt idx="72">
                  <c:v>3.0425939999999998</c:v>
                </c:pt>
                <c:pt idx="73">
                  <c:v>3.1914178153846158</c:v>
                </c:pt>
                <c:pt idx="74">
                  <c:v>5.8897144000000008</c:v>
                </c:pt>
                <c:pt idx="75">
                  <c:v>5.3643683025641025</c:v>
                </c:pt>
                <c:pt idx="76">
                  <c:v>5.3728091047619051</c:v>
                </c:pt>
                <c:pt idx="77">
                  <c:v>5.3445889966101694</c:v>
                </c:pt>
                <c:pt idx="78">
                  <c:v>6.0501614117647051</c:v>
                </c:pt>
                <c:pt idx="79">
                  <c:v>3.412759224489796</c:v>
                </c:pt>
                <c:pt idx="80">
                  <c:v>3.7154920000000002</c:v>
                </c:pt>
                <c:pt idx="81">
                  <c:v>5.1661091999999993</c:v>
                </c:pt>
                <c:pt idx="82">
                  <c:v>5.3461091999999999</c:v>
                </c:pt>
                <c:pt idx="83">
                  <c:v>4.8328900063492064</c:v>
                </c:pt>
                <c:pt idx="84">
                  <c:v>3.6769158048780488</c:v>
                </c:pt>
                <c:pt idx="85">
                  <c:v>3.5820460820512823</c:v>
                </c:pt>
                <c:pt idx="86">
                  <c:v>2.445100780952381</c:v>
                </c:pt>
                <c:pt idx="87">
                  <c:v>5.8051809523809519</c:v>
                </c:pt>
                <c:pt idx="88">
                  <c:v>2.0009563286821703</c:v>
                </c:pt>
                <c:pt idx="89">
                  <c:v>2.899948524137931</c:v>
                </c:pt>
                <c:pt idx="90">
                  <c:v>1.7190993939393939</c:v>
                </c:pt>
                <c:pt idx="91">
                  <c:v>2.5678284000000002</c:v>
                </c:pt>
                <c:pt idx="92">
                  <c:v>1.5459240000000001</c:v>
                </c:pt>
                <c:pt idx="93">
                  <c:v>2.4000727999999998</c:v>
                </c:pt>
                <c:pt idx="94">
                  <c:v>2.0529983999999999</c:v>
                </c:pt>
                <c:pt idx="95">
                  <c:v>1.8294997333333334</c:v>
                </c:pt>
                <c:pt idx="96">
                  <c:v>1.4780768</c:v>
                </c:pt>
                <c:pt idx="97">
                  <c:v>2.0015999999999998</c:v>
                </c:pt>
                <c:pt idx="98">
                  <c:v>0.71934639999999994</c:v>
                </c:pt>
                <c:pt idx="99">
                  <c:v>1.3888618666666666</c:v>
                </c:pt>
                <c:pt idx="100">
                  <c:v>0.8362613333333333</c:v>
                </c:pt>
                <c:pt idx="101">
                  <c:v>0.92499111111111121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BE-495E-9B0E-C8D437840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</c:v>
          </c:tx>
          <c:spPr>
            <a:ln w="25400">
              <a:noFill/>
            </a:ln>
          </c:spPr>
          <c:xVal>
            <c:numRef>
              <c:f>'All Run w Tables'!$B$5:$B$106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'All Run w Tables'!$O$5:$O$106</c:f>
              <c:numCache>
                <c:formatCode>General</c:formatCode>
                <c:ptCount val="102"/>
                <c:pt idx="0">
                  <c:v>100</c:v>
                </c:pt>
                <c:pt idx="1">
                  <c:v>100</c:v>
                </c:pt>
                <c:pt idx="2">
                  <c:v>99.99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100</c:v>
                </c:pt>
                <c:pt idx="8">
                  <c:v>100</c:v>
                </c:pt>
                <c:pt idx="9">
                  <c:v>99.99</c:v>
                </c:pt>
                <c:pt idx="10">
                  <c:v>99.99</c:v>
                </c:pt>
                <c:pt idx="11">
                  <c:v>99.99</c:v>
                </c:pt>
                <c:pt idx="12">
                  <c:v>100</c:v>
                </c:pt>
                <c:pt idx="13">
                  <c:v>99.99</c:v>
                </c:pt>
                <c:pt idx="14">
                  <c:v>99.97</c:v>
                </c:pt>
                <c:pt idx="15">
                  <c:v>100</c:v>
                </c:pt>
                <c:pt idx="16">
                  <c:v>0</c:v>
                </c:pt>
                <c:pt idx="17">
                  <c:v>99.99</c:v>
                </c:pt>
                <c:pt idx="18">
                  <c:v>99.99</c:v>
                </c:pt>
                <c:pt idx="19">
                  <c:v>99.99</c:v>
                </c:pt>
                <c:pt idx="20">
                  <c:v>99.95</c:v>
                </c:pt>
                <c:pt idx="21">
                  <c:v>99.99</c:v>
                </c:pt>
                <c:pt idx="22">
                  <c:v>99.99</c:v>
                </c:pt>
                <c:pt idx="23">
                  <c:v>99.95</c:v>
                </c:pt>
                <c:pt idx="24">
                  <c:v>99.99</c:v>
                </c:pt>
                <c:pt idx="25">
                  <c:v>99.99</c:v>
                </c:pt>
                <c:pt idx="26">
                  <c:v>100</c:v>
                </c:pt>
                <c:pt idx="27">
                  <c:v>100</c:v>
                </c:pt>
                <c:pt idx="28">
                  <c:v>99.98</c:v>
                </c:pt>
                <c:pt idx="29">
                  <c:v>99.99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99.98</c:v>
                </c:pt>
                <c:pt idx="34">
                  <c:v>99.99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99.38</c:v>
                </c:pt>
                <c:pt idx="42">
                  <c:v>98.9</c:v>
                </c:pt>
                <c:pt idx="43">
                  <c:v>91.65</c:v>
                </c:pt>
                <c:pt idx="44">
                  <c:v>94.4</c:v>
                </c:pt>
                <c:pt idx="45">
                  <c:v>98.95</c:v>
                </c:pt>
                <c:pt idx="46">
                  <c:v>99.7</c:v>
                </c:pt>
                <c:pt idx="47">
                  <c:v>99.8</c:v>
                </c:pt>
                <c:pt idx="48">
                  <c:v>99.69</c:v>
                </c:pt>
                <c:pt idx="49">
                  <c:v>99.76</c:v>
                </c:pt>
                <c:pt idx="50">
                  <c:v>99.84</c:v>
                </c:pt>
                <c:pt idx="51">
                  <c:v>99.77</c:v>
                </c:pt>
                <c:pt idx="52">
                  <c:v>99.69</c:v>
                </c:pt>
                <c:pt idx="53">
                  <c:v>99.82</c:v>
                </c:pt>
                <c:pt idx="54">
                  <c:v>99.9</c:v>
                </c:pt>
                <c:pt idx="55">
                  <c:v>98.91</c:v>
                </c:pt>
                <c:pt idx="56">
                  <c:v>99.64</c:v>
                </c:pt>
                <c:pt idx="57">
                  <c:v>99.74</c:v>
                </c:pt>
                <c:pt idx="58">
                  <c:v>100</c:v>
                </c:pt>
                <c:pt idx="59">
                  <c:v>99.66</c:v>
                </c:pt>
                <c:pt idx="60">
                  <c:v>99.93</c:v>
                </c:pt>
                <c:pt idx="61">
                  <c:v>99.56</c:v>
                </c:pt>
                <c:pt idx="62">
                  <c:v>99.41</c:v>
                </c:pt>
                <c:pt idx="63">
                  <c:v>99.03</c:v>
                </c:pt>
                <c:pt idx="64">
                  <c:v>98.96</c:v>
                </c:pt>
                <c:pt idx="65">
                  <c:v>98.8</c:v>
                </c:pt>
                <c:pt idx="66">
                  <c:v>99.53</c:v>
                </c:pt>
                <c:pt idx="67">
                  <c:v>99.67</c:v>
                </c:pt>
                <c:pt idx="68">
                  <c:v>99.82</c:v>
                </c:pt>
                <c:pt idx="69">
                  <c:v>95.16</c:v>
                </c:pt>
                <c:pt idx="70">
                  <c:v>99.58</c:v>
                </c:pt>
                <c:pt idx="71">
                  <c:v>99.95</c:v>
                </c:pt>
                <c:pt idx="72">
                  <c:v>99.76</c:v>
                </c:pt>
                <c:pt idx="73">
                  <c:v>99.73</c:v>
                </c:pt>
                <c:pt idx="74">
                  <c:v>99.83</c:v>
                </c:pt>
                <c:pt idx="75">
                  <c:v>99.9</c:v>
                </c:pt>
                <c:pt idx="76">
                  <c:v>99.87</c:v>
                </c:pt>
                <c:pt idx="77">
                  <c:v>99.9</c:v>
                </c:pt>
                <c:pt idx="78">
                  <c:v>99.84</c:v>
                </c:pt>
                <c:pt idx="79">
                  <c:v>99.79</c:v>
                </c:pt>
                <c:pt idx="80">
                  <c:v>99.88</c:v>
                </c:pt>
                <c:pt idx="81">
                  <c:v>99.73</c:v>
                </c:pt>
                <c:pt idx="82">
                  <c:v>99.74</c:v>
                </c:pt>
                <c:pt idx="83">
                  <c:v>99.85</c:v>
                </c:pt>
                <c:pt idx="84">
                  <c:v>99.65</c:v>
                </c:pt>
                <c:pt idx="85">
                  <c:v>99.5</c:v>
                </c:pt>
                <c:pt idx="86">
                  <c:v>99.8</c:v>
                </c:pt>
                <c:pt idx="87">
                  <c:v>99.92</c:v>
                </c:pt>
                <c:pt idx="88">
                  <c:v>99.55</c:v>
                </c:pt>
                <c:pt idx="89">
                  <c:v>99.65</c:v>
                </c:pt>
                <c:pt idx="90">
                  <c:v>99.37</c:v>
                </c:pt>
                <c:pt idx="91">
                  <c:v>99.53</c:v>
                </c:pt>
                <c:pt idx="92">
                  <c:v>99.1</c:v>
                </c:pt>
                <c:pt idx="93">
                  <c:v>99.18</c:v>
                </c:pt>
                <c:pt idx="94">
                  <c:v>99.18</c:v>
                </c:pt>
                <c:pt idx="95">
                  <c:v>99.43</c:v>
                </c:pt>
                <c:pt idx="96">
                  <c:v>99.2</c:v>
                </c:pt>
                <c:pt idx="97">
                  <c:v>99.09</c:v>
                </c:pt>
                <c:pt idx="98">
                  <c:v>98.54</c:v>
                </c:pt>
                <c:pt idx="99">
                  <c:v>99.2</c:v>
                </c:pt>
                <c:pt idx="100">
                  <c:v>98.38</c:v>
                </c:pt>
                <c:pt idx="101">
                  <c:v>99.46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15-430D-8EF4-89D15E9CF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 Run 5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'All Run w Tables'!$T$5:$T$106</c:f>
              <c:numCache>
                <c:formatCode>0.00</c:formatCode>
                <c:ptCount val="102"/>
                <c:pt idx="0">
                  <c:v>0.20161057866666754</c:v>
                </c:pt>
                <c:pt idx="1">
                  <c:v>0.40322115733333508</c:v>
                </c:pt>
                <c:pt idx="2">
                  <c:v>0.88652475733333347</c:v>
                </c:pt>
                <c:pt idx="3">
                  <c:v>1.3465247573333334</c:v>
                </c:pt>
                <c:pt idx="4">
                  <c:v>1.3465247573333334</c:v>
                </c:pt>
                <c:pt idx="5">
                  <c:v>2.7065247573333338</c:v>
                </c:pt>
                <c:pt idx="6">
                  <c:v>4.0565247573333334</c:v>
                </c:pt>
                <c:pt idx="7">
                  <c:v>5.3965247573333333</c:v>
                </c:pt>
                <c:pt idx="8">
                  <c:v>6.0665247573333332</c:v>
                </c:pt>
                <c:pt idx="9">
                  <c:v>6.4265247573333335</c:v>
                </c:pt>
                <c:pt idx="10">
                  <c:v>7.0465247573333336</c:v>
                </c:pt>
                <c:pt idx="11">
                  <c:v>7.7665247573333334</c:v>
                </c:pt>
                <c:pt idx="12">
                  <c:v>8.4265247573333326</c:v>
                </c:pt>
                <c:pt idx="13">
                  <c:v>9.0665247573333332</c:v>
                </c:pt>
                <c:pt idx="14">
                  <c:v>9.7365247573333331</c:v>
                </c:pt>
                <c:pt idx="15">
                  <c:v>10.196524757333334</c:v>
                </c:pt>
                <c:pt idx="16">
                  <c:v>10.566524757333333</c:v>
                </c:pt>
                <c:pt idx="17">
                  <c:v>11.156524757333333</c:v>
                </c:pt>
                <c:pt idx="18">
                  <c:v>11.786524757333334</c:v>
                </c:pt>
                <c:pt idx="19">
                  <c:v>12.226524757333333</c:v>
                </c:pt>
                <c:pt idx="20">
                  <c:v>12.676524757333333</c:v>
                </c:pt>
                <c:pt idx="21">
                  <c:v>13.216524757333332</c:v>
                </c:pt>
                <c:pt idx="22">
                  <c:v>13.776524757333332</c:v>
                </c:pt>
                <c:pt idx="23">
                  <c:v>14.026524757333332</c:v>
                </c:pt>
                <c:pt idx="24">
                  <c:v>14.246524757333333</c:v>
                </c:pt>
                <c:pt idx="25">
                  <c:v>14.476524757333333</c:v>
                </c:pt>
                <c:pt idx="26">
                  <c:v>14.676524757333333</c:v>
                </c:pt>
                <c:pt idx="27">
                  <c:v>14.946524757333332</c:v>
                </c:pt>
                <c:pt idx="28">
                  <c:v>15.146524757333331</c:v>
                </c:pt>
                <c:pt idx="29">
                  <c:v>15.346524757333331</c:v>
                </c:pt>
                <c:pt idx="30" formatCode="General">
                  <c:v>0.23</c:v>
                </c:pt>
                <c:pt idx="31" formatCode="General">
                  <c:v>0.37</c:v>
                </c:pt>
                <c:pt idx="32" formatCode="General">
                  <c:v>0.55000000000000004</c:v>
                </c:pt>
                <c:pt idx="33" formatCode="General">
                  <c:v>0.73</c:v>
                </c:pt>
                <c:pt idx="34" formatCode="General">
                  <c:v>0.85</c:v>
                </c:pt>
                <c:pt idx="35" formatCode="General">
                  <c:v>1.07</c:v>
                </c:pt>
                <c:pt idx="36" formatCode="General">
                  <c:v>1.4300000000000002</c:v>
                </c:pt>
                <c:pt idx="37" formatCode="General">
                  <c:v>1.9400000000000002</c:v>
                </c:pt>
                <c:pt idx="38" formatCode="General">
                  <c:v>1.9400000000000002</c:v>
                </c:pt>
                <c:pt idx="39" formatCode="General">
                  <c:v>2.31</c:v>
                </c:pt>
                <c:pt idx="40" formatCode="General">
                  <c:v>2.73</c:v>
                </c:pt>
                <c:pt idx="41" formatCode="General">
                  <c:v>3.02</c:v>
                </c:pt>
                <c:pt idx="42" formatCode="General">
                  <c:v>3.1</c:v>
                </c:pt>
                <c:pt idx="43" formatCode="General">
                  <c:v>3.24</c:v>
                </c:pt>
                <c:pt idx="44" formatCode="General">
                  <c:v>4.2300000000000004</c:v>
                </c:pt>
                <c:pt idx="45" formatCode="General">
                  <c:v>5.24</c:v>
                </c:pt>
                <c:pt idx="46" formatCode="General">
                  <c:v>5.92</c:v>
                </c:pt>
                <c:pt idx="47" formatCode="General">
                  <c:v>6.64</c:v>
                </c:pt>
                <c:pt idx="48" formatCode="General">
                  <c:v>7.3699999999999992</c:v>
                </c:pt>
                <c:pt idx="49" formatCode="General">
                  <c:v>7.9699999999999989</c:v>
                </c:pt>
                <c:pt idx="50" formatCode="General">
                  <c:v>8.7499999999999982</c:v>
                </c:pt>
                <c:pt idx="51" formatCode="General">
                  <c:v>9.5199999999999978</c:v>
                </c:pt>
                <c:pt idx="52" formatCode="General">
                  <c:v>10.219999999999997</c:v>
                </c:pt>
                <c:pt idx="53" formatCode="General">
                  <c:v>11.029999999999998</c:v>
                </c:pt>
                <c:pt idx="54" formatCode="General">
                  <c:v>11.999999999999998</c:v>
                </c:pt>
                <c:pt idx="55" formatCode="General">
                  <c:v>12.779999999999998</c:v>
                </c:pt>
                <c:pt idx="56" formatCode="General">
                  <c:v>13.439999999999998</c:v>
                </c:pt>
                <c:pt idx="57" formatCode="General">
                  <c:v>14.309999999999997</c:v>
                </c:pt>
                <c:pt idx="58" formatCode="General">
                  <c:v>14.889999999999997</c:v>
                </c:pt>
                <c:pt idx="59" formatCode="General">
                  <c:v>15.519999999999998</c:v>
                </c:pt>
                <c:pt idx="60" formatCode="General">
                  <c:v>15.829999999999998</c:v>
                </c:pt>
                <c:pt idx="61" formatCode="General">
                  <c:v>16.27</c:v>
                </c:pt>
                <c:pt idx="62" formatCode="General">
                  <c:v>16.97</c:v>
                </c:pt>
                <c:pt idx="63" formatCode="General">
                  <c:v>17.799999999999997</c:v>
                </c:pt>
                <c:pt idx="64" formatCode="General">
                  <c:v>18.259999999999998</c:v>
                </c:pt>
                <c:pt idx="65" formatCode="General">
                  <c:v>19.009999999999998</c:v>
                </c:pt>
                <c:pt idx="66" formatCode="General">
                  <c:v>19.45</c:v>
                </c:pt>
                <c:pt idx="67" formatCode="General">
                  <c:v>20.349999999999998</c:v>
                </c:pt>
                <c:pt idx="68" formatCode="General">
                  <c:v>0.51</c:v>
                </c:pt>
                <c:pt idx="69" formatCode="General">
                  <c:v>1.1600000000000001</c:v>
                </c:pt>
                <c:pt idx="70" formatCode="General">
                  <c:v>1.1600000000000001</c:v>
                </c:pt>
                <c:pt idx="71" formatCode="General">
                  <c:v>1.46</c:v>
                </c:pt>
                <c:pt idx="72" formatCode="General">
                  <c:v>0</c:v>
                </c:pt>
                <c:pt idx="73" formatCode="General">
                  <c:v>2.7</c:v>
                </c:pt>
                <c:pt idx="74" formatCode="General">
                  <c:v>4.18</c:v>
                </c:pt>
                <c:pt idx="75" formatCode="General">
                  <c:v>5.39</c:v>
                </c:pt>
                <c:pt idx="76" formatCode="General">
                  <c:v>6.72</c:v>
                </c:pt>
                <c:pt idx="77" formatCode="General">
                  <c:v>9.02</c:v>
                </c:pt>
                <c:pt idx="78" formatCode="General">
                  <c:v>10.199999999999999</c:v>
                </c:pt>
                <c:pt idx="79" formatCode="General">
                  <c:v>11.149999999999999</c:v>
                </c:pt>
                <c:pt idx="80" formatCode="General">
                  <c:v>11.61</c:v>
                </c:pt>
                <c:pt idx="81" formatCode="General">
                  <c:v>12.66</c:v>
                </c:pt>
                <c:pt idx="82" formatCode="General">
                  <c:v>14.46</c:v>
                </c:pt>
                <c:pt idx="83" formatCode="General">
                  <c:v>15.020000000000001</c:v>
                </c:pt>
                <c:pt idx="84" formatCode="General">
                  <c:v>1.1000000000000001</c:v>
                </c:pt>
                <c:pt idx="85" formatCode="General">
                  <c:v>0.55161057866666752</c:v>
                </c:pt>
                <c:pt idx="86" formatCode="General">
                  <c:v>1.1516105786666675</c:v>
                </c:pt>
                <c:pt idx="87" formatCode="General">
                  <c:v>2.4716105786666676</c:v>
                </c:pt>
                <c:pt idx="88" formatCode="General">
                  <c:v>3.0716105786666676</c:v>
                </c:pt>
                <c:pt idx="89" formatCode="General">
                  <c:v>3.7716105786666674</c:v>
                </c:pt>
                <c:pt idx="90" formatCode="General">
                  <c:v>6.2716105786666674</c:v>
                </c:pt>
                <c:pt idx="91" formatCode="General">
                  <c:v>6.7716105786666674</c:v>
                </c:pt>
                <c:pt idx="92" formatCode="General">
                  <c:v>6.8116105786666674</c:v>
                </c:pt>
                <c:pt idx="93" formatCode="General">
                  <c:v>7.6416105786666675</c:v>
                </c:pt>
                <c:pt idx="94" formatCode="General">
                  <c:v>8.491610578666668</c:v>
                </c:pt>
                <c:pt idx="95" formatCode="General">
                  <c:v>11.301610578666669</c:v>
                </c:pt>
                <c:pt idx="96" formatCode="General">
                  <c:v>13.301610578666669</c:v>
                </c:pt>
                <c:pt idx="97" formatCode="General">
                  <c:v>17.281610578666669</c:v>
                </c:pt>
                <c:pt idx="98" formatCode="General">
                  <c:v>17.431610578666668</c:v>
                </c:pt>
                <c:pt idx="99" formatCode="General">
                  <c:v>17.561610578666667</c:v>
                </c:pt>
                <c:pt idx="100" formatCode="General">
                  <c:v>17.751610578666668</c:v>
                </c:pt>
                <c:pt idx="101" formatCode="General">
                  <c:v>17.761610578666669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A-4F7C-9B6B-3B8FD35D9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3158"/>
        <c:axId val="1398771263"/>
      </c:lineChart>
      <c:catAx>
        <c:axId val="12016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98771263"/>
        <c:crosses val="autoZero"/>
        <c:auto val="1"/>
        <c:lblAlgn val="ctr"/>
        <c:lblOffset val="100"/>
        <c:noMultiLvlLbl val="1"/>
      </c:catAx>
      <c:valAx>
        <c:axId val="1398771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CO2 Captured, kg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0163158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Capture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CO2 Capture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'All Run w Tables'!$B$5:$B$106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cat>
          <c:val>
            <c:numRef>
              <c:f>'All Run w Tables'!$M$5:$M$106</c:f>
              <c:numCache>
                <c:formatCode>0.00</c:formatCode>
                <c:ptCount val="102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  <c:pt idx="30">
                  <c:v>4.0999974880268466</c:v>
                </c:pt>
                <c:pt idx="31">
                  <c:v>7.0099140010570089</c:v>
                </c:pt>
                <c:pt idx="32">
                  <c:v>6.1899362569673242</c:v>
                </c:pt>
                <c:pt idx="33">
                  <c:v>3.7190812710161372</c:v>
                </c:pt>
                <c:pt idx="34">
                  <c:v>5.0295289088561441</c:v>
                </c:pt>
                <c:pt idx="35">
                  <c:v>8.7699948832178318</c:v>
                </c:pt>
                <c:pt idx="36">
                  <c:v>9.4699956269853107</c:v>
                </c:pt>
                <c:pt idx="37">
                  <c:v>9.0799943571033328</c:v>
                </c:pt>
                <c:pt idx="38">
                  <c:v>9.869995536489899</c:v>
                </c:pt>
                <c:pt idx="39">
                  <c:v>5.7799986123239728</c:v>
                </c:pt>
                <c:pt idx="40">
                  <c:v>0.89999872180055562</c:v>
                </c:pt>
                <c:pt idx="41">
                  <c:v>8.3579989264455783</c:v>
                </c:pt>
                <c:pt idx="42">
                  <c:v>2.0965808961670818</c:v>
                </c:pt>
                <c:pt idx="43">
                  <c:v>0.25662437479603645</c:v>
                </c:pt>
                <c:pt idx="44">
                  <c:v>1.3215404066666663</c:v>
                </c:pt>
                <c:pt idx="45">
                  <c:v>1.959250148080808</c:v>
                </c:pt>
                <c:pt idx="46">
                  <c:v>3.63889952248062</c:v>
                </c:pt>
                <c:pt idx="47">
                  <c:v>5.9583040208333333</c:v>
                </c:pt>
                <c:pt idx="48">
                  <c:v>4.5459168909090906</c:v>
                </c:pt>
                <c:pt idx="49">
                  <c:v>5.0079252936170207</c:v>
                </c:pt>
                <c:pt idx="50">
                  <c:v>5.7108919999999994</c:v>
                </c:pt>
                <c:pt idx="51">
                  <c:v>5.1778863438596492</c:v>
                </c:pt>
                <c:pt idx="52">
                  <c:v>5.4230470037735854</c:v>
                </c:pt>
                <c:pt idx="53">
                  <c:v>5.3701496655737708</c:v>
                </c:pt>
                <c:pt idx="54">
                  <c:v>5.1449434074074079</c:v>
                </c:pt>
                <c:pt idx="55">
                  <c:v>5.4002322000000005</c:v>
                </c:pt>
                <c:pt idx="56">
                  <c:v>3.6071058349206351</c:v>
                </c:pt>
                <c:pt idx="57">
                  <c:v>4.9571132352941172</c:v>
                </c:pt>
                <c:pt idx="58">
                  <c:v>1.39</c:v>
                </c:pt>
                <c:pt idx="59">
                  <c:v>4.3354109278911563</c:v>
                </c:pt>
                <c:pt idx="60">
                  <c:v>3.4674861551041669</c:v>
                </c:pt>
                <c:pt idx="61">
                  <c:v>2.7478559999999996</c:v>
                </c:pt>
                <c:pt idx="62">
                  <c:v>2.3161451172413794</c:v>
                </c:pt>
                <c:pt idx="63">
                  <c:v>0.84172000000000002</c:v>
                </c:pt>
                <c:pt idx="64">
                  <c:v>1.0291562666666667</c:v>
                </c:pt>
                <c:pt idx="65">
                  <c:v>1.0374062222222222</c:v>
                </c:pt>
                <c:pt idx="66">
                  <c:v>1.6621696701754385</c:v>
                </c:pt>
                <c:pt idx="67">
                  <c:v>1.5846844444444446</c:v>
                </c:pt>
                <c:pt idx="68">
                  <c:v>3.6433921403508771</c:v>
                </c:pt>
                <c:pt idx="69">
                  <c:v>1.313167111111111</c:v>
                </c:pt>
                <c:pt idx="70">
                  <c:v>0.90617688888888892</c:v>
                </c:pt>
                <c:pt idx="71">
                  <c:v>9.1750708072727267</c:v>
                </c:pt>
                <c:pt idx="72">
                  <c:v>3.0425939999999998</c:v>
                </c:pt>
                <c:pt idx="73">
                  <c:v>3.1914178153846158</c:v>
                </c:pt>
                <c:pt idx="74">
                  <c:v>5.8897144000000008</c:v>
                </c:pt>
                <c:pt idx="75">
                  <c:v>5.3643683025641025</c:v>
                </c:pt>
                <c:pt idx="76">
                  <c:v>5.3728091047619051</c:v>
                </c:pt>
                <c:pt idx="77">
                  <c:v>5.3445889966101694</c:v>
                </c:pt>
                <c:pt idx="78">
                  <c:v>6.0501614117647051</c:v>
                </c:pt>
                <c:pt idx="79">
                  <c:v>3.412759224489796</c:v>
                </c:pt>
                <c:pt idx="80">
                  <c:v>3.7154920000000002</c:v>
                </c:pt>
                <c:pt idx="81">
                  <c:v>5.1661091999999993</c:v>
                </c:pt>
                <c:pt idx="82">
                  <c:v>5.3461091999999999</c:v>
                </c:pt>
                <c:pt idx="83">
                  <c:v>4.8328900063492064</c:v>
                </c:pt>
                <c:pt idx="84">
                  <c:v>3.6769158048780488</c:v>
                </c:pt>
                <c:pt idx="85">
                  <c:v>3.5820460820512823</c:v>
                </c:pt>
                <c:pt idx="86">
                  <c:v>2.445100780952381</c:v>
                </c:pt>
                <c:pt idx="87">
                  <c:v>5.8051809523809519</c:v>
                </c:pt>
                <c:pt idx="88">
                  <c:v>2.0009563286821703</c:v>
                </c:pt>
                <c:pt idx="89">
                  <c:v>2.899948524137931</c:v>
                </c:pt>
                <c:pt idx="90">
                  <c:v>1.7190993939393939</c:v>
                </c:pt>
                <c:pt idx="91">
                  <c:v>2.5678284000000002</c:v>
                </c:pt>
                <c:pt idx="92">
                  <c:v>1.5459240000000001</c:v>
                </c:pt>
                <c:pt idx="93">
                  <c:v>2.4000727999999998</c:v>
                </c:pt>
                <c:pt idx="94">
                  <c:v>2.0529983999999999</c:v>
                </c:pt>
                <c:pt idx="95">
                  <c:v>1.8294997333333334</c:v>
                </c:pt>
                <c:pt idx="96">
                  <c:v>1.4780768</c:v>
                </c:pt>
                <c:pt idx="97">
                  <c:v>2.0015999999999998</c:v>
                </c:pt>
                <c:pt idx="98">
                  <c:v>0.71934639999999994</c:v>
                </c:pt>
                <c:pt idx="99">
                  <c:v>1.3888618666666666</c:v>
                </c:pt>
                <c:pt idx="100">
                  <c:v>0.8362613333333333</c:v>
                </c:pt>
                <c:pt idx="101">
                  <c:v>0.92499111111111121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3-4B07-8D71-38495FF2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Co2 Recovery</c:v>
                </c:tx>
                <c:spPr>
                  <a:ln w="28575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'All Run w Tables'!$B$5:$B$106</c15:sqref>
                        </c15:formulaRef>
                      </c:ext>
                    </c:extLst>
                    <c:numCache>
                      <c:formatCode>General</c:formatCode>
                      <c:ptCount val="10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'Run 1 Gen 1 '!$AD$7:$AD$36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0.20161057866666754</c:v>
                      </c:pt>
                      <c:pt idx="1">
                        <c:v>0.40322115733333508</c:v>
                      </c:pt>
                      <c:pt idx="2">
                        <c:v>0.88652475733333347</c:v>
                      </c:pt>
                      <c:pt idx="3">
                        <c:v>1.3465247573333334</c:v>
                      </c:pt>
                      <c:pt idx="4">
                        <c:v>1.3465247573333334</c:v>
                      </c:pt>
                      <c:pt idx="5">
                        <c:v>2.7065247573333338</c:v>
                      </c:pt>
                      <c:pt idx="6">
                        <c:v>4.0565247573333334</c:v>
                      </c:pt>
                      <c:pt idx="7">
                        <c:v>5.3965247573333333</c:v>
                      </c:pt>
                      <c:pt idx="8">
                        <c:v>6.0665247573333332</c:v>
                      </c:pt>
                      <c:pt idx="9">
                        <c:v>6.4265247573333335</c:v>
                      </c:pt>
                      <c:pt idx="10">
                        <c:v>7.0465247573333336</c:v>
                      </c:pt>
                      <c:pt idx="11">
                        <c:v>7.7665247573333334</c:v>
                      </c:pt>
                      <c:pt idx="12">
                        <c:v>8.4265247573333326</c:v>
                      </c:pt>
                      <c:pt idx="13">
                        <c:v>9.0665247573333332</c:v>
                      </c:pt>
                      <c:pt idx="14">
                        <c:v>9.7365247573333331</c:v>
                      </c:pt>
                      <c:pt idx="15">
                        <c:v>10.196524757333334</c:v>
                      </c:pt>
                      <c:pt idx="16">
                        <c:v>10.566524757333333</c:v>
                      </c:pt>
                      <c:pt idx="17">
                        <c:v>11.156524757333333</c:v>
                      </c:pt>
                      <c:pt idx="18">
                        <c:v>11.786524757333334</c:v>
                      </c:pt>
                      <c:pt idx="19">
                        <c:v>12.226524757333333</c:v>
                      </c:pt>
                      <c:pt idx="20">
                        <c:v>12.676524757333333</c:v>
                      </c:pt>
                      <c:pt idx="21">
                        <c:v>13.216524757333332</c:v>
                      </c:pt>
                      <c:pt idx="22">
                        <c:v>13.776524757333332</c:v>
                      </c:pt>
                      <c:pt idx="23">
                        <c:v>14.026524757333332</c:v>
                      </c:pt>
                      <c:pt idx="24">
                        <c:v>14.246524757333333</c:v>
                      </c:pt>
                      <c:pt idx="25">
                        <c:v>14.476524757333333</c:v>
                      </c:pt>
                      <c:pt idx="26">
                        <c:v>14.676524757333333</c:v>
                      </c:pt>
                      <c:pt idx="27">
                        <c:v>14.946524757333332</c:v>
                      </c:pt>
                      <c:pt idx="28">
                        <c:v>15.146524757333331</c:v>
                      </c:pt>
                      <c:pt idx="29">
                        <c:v>15.346524757333331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A83-4B07-8D71-38495FF2C3F2}"/>
                  </c:ext>
                </c:extLst>
              </c15:ser>
            </c15:filteredLineSeries>
          </c:ext>
        </c:extLst>
      </c:lineChart>
      <c:lineChart>
        <c:grouping val="standard"/>
        <c:varyColors val="1"/>
        <c:ser>
          <c:idx val="2"/>
          <c:order val="2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'All Run w Tables'!$U$5:$U$106</c:f>
              <c:numCache>
                <c:formatCode>General</c:formatCode>
                <c:ptCount val="102"/>
                <c:pt idx="0">
                  <c:v>5.08</c:v>
                </c:pt>
                <c:pt idx="1">
                  <c:v>2.04</c:v>
                </c:pt>
                <c:pt idx="2">
                  <c:v>6.89</c:v>
                </c:pt>
                <c:pt idx="3">
                  <c:v>5.67</c:v>
                </c:pt>
                <c:pt idx="4">
                  <c:v>0</c:v>
                </c:pt>
                <c:pt idx="5">
                  <c:v>24.82</c:v>
                </c:pt>
                <c:pt idx="6">
                  <c:v>0</c:v>
                </c:pt>
                <c:pt idx="7">
                  <c:v>16.95</c:v>
                </c:pt>
                <c:pt idx="8">
                  <c:v>9.86</c:v>
                </c:pt>
                <c:pt idx="9">
                  <c:v>6.01</c:v>
                </c:pt>
                <c:pt idx="10">
                  <c:v>12.22</c:v>
                </c:pt>
                <c:pt idx="11">
                  <c:v>11.15</c:v>
                </c:pt>
                <c:pt idx="12">
                  <c:v>8.76</c:v>
                </c:pt>
                <c:pt idx="13">
                  <c:v>13.1</c:v>
                </c:pt>
                <c:pt idx="14">
                  <c:v>19.82</c:v>
                </c:pt>
                <c:pt idx="15">
                  <c:v>5.34</c:v>
                </c:pt>
                <c:pt idx="16">
                  <c:v>0</c:v>
                </c:pt>
                <c:pt idx="17">
                  <c:v>9.76</c:v>
                </c:pt>
                <c:pt idx="18">
                  <c:v>12.97</c:v>
                </c:pt>
                <c:pt idx="19">
                  <c:v>4.46</c:v>
                </c:pt>
                <c:pt idx="20">
                  <c:v>10.97</c:v>
                </c:pt>
                <c:pt idx="21">
                  <c:v>16.079999999999998</c:v>
                </c:pt>
                <c:pt idx="22">
                  <c:v>9.94</c:v>
                </c:pt>
                <c:pt idx="23">
                  <c:v>8.16</c:v>
                </c:pt>
                <c:pt idx="24">
                  <c:v>7.52</c:v>
                </c:pt>
                <c:pt idx="25">
                  <c:v>7.29</c:v>
                </c:pt>
                <c:pt idx="26">
                  <c:v>6.35</c:v>
                </c:pt>
                <c:pt idx="27">
                  <c:v>8.51</c:v>
                </c:pt>
                <c:pt idx="28">
                  <c:v>2.2200000000000002</c:v>
                </c:pt>
                <c:pt idx="29">
                  <c:v>6.64</c:v>
                </c:pt>
                <c:pt idx="30">
                  <c:v>5.61</c:v>
                </c:pt>
                <c:pt idx="31">
                  <c:v>2</c:v>
                </c:pt>
                <c:pt idx="32">
                  <c:v>2.91</c:v>
                </c:pt>
                <c:pt idx="33">
                  <c:v>4.84</c:v>
                </c:pt>
                <c:pt idx="34">
                  <c:v>2.39</c:v>
                </c:pt>
                <c:pt idx="35">
                  <c:v>2.5099999999999998</c:v>
                </c:pt>
                <c:pt idx="36">
                  <c:v>3.8</c:v>
                </c:pt>
                <c:pt idx="37">
                  <c:v>5.62</c:v>
                </c:pt>
                <c:pt idx="38">
                  <c:v>0</c:v>
                </c:pt>
                <c:pt idx="39">
                  <c:v>6.4</c:v>
                </c:pt>
                <c:pt idx="40">
                  <c:v>46.67</c:v>
                </c:pt>
                <c:pt idx="41">
                  <c:v>3.47</c:v>
                </c:pt>
                <c:pt idx="42">
                  <c:v>3.82</c:v>
                </c:pt>
                <c:pt idx="43">
                  <c:v>54.55</c:v>
                </c:pt>
                <c:pt idx="44">
                  <c:v>74.91</c:v>
                </c:pt>
                <c:pt idx="45">
                  <c:v>51.55</c:v>
                </c:pt>
                <c:pt idx="46">
                  <c:v>18.690000000000001</c:v>
                </c:pt>
                <c:pt idx="47">
                  <c:v>12.08</c:v>
                </c:pt>
                <c:pt idx="48">
                  <c:v>16.059999999999999</c:v>
                </c:pt>
                <c:pt idx="49">
                  <c:v>11.98</c:v>
                </c:pt>
                <c:pt idx="50">
                  <c:v>13.66</c:v>
                </c:pt>
                <c:pt idx="51">
                  <c:v>14.87</c:v>
                </c:pt>
                <c:pt idx="52">
                  <c:v>12.91</c:v>
                </c:pt>
                <c:pt idx="53">
                  <c:v>15.08</c:v>
                </c:pt>
                <c:pt idx="54">
                  <c:v>18.850000000000001</c:v>
                </c:pt>
                <c:pt idx="55">
                  <c:v>14.44</c:v>
                </c:pt>
                <c:pt idx="56">
                  <c:v>18.3</c:v>
                </c:pt>
                <c:pt idx="57">
                  <c:v>17.55</c:v>
                </c:pt>
                <c:pt idx="58">
                  <c:v>41.73</c:v>
                </c:pt>
                <c:pt idx="59">
                  <c:v>14.53</c:v>
                </c:pt>
                <c:pt idx="60">
                  <c:v>8.94</c:v>
                </c:pt>
                <c:pt idx="61">
                  <c:v>16.010000000000002</c:v>
                </c:pt>
                <c:pt idx="62">
                  <c:v>30.22</c:v>
                </c:pt>
                <c:pt idx="63">
                  <c:v>98.61</c:v>
                </c:pt>
                <c:pt idx="64">
                  <c:v>44.7</c:v>
                </c:pt>
                <c:pt idx="65">
                  <c:v>72.3</c:v>
                </c:pt>
                <c:pt idx="66">
                  <c:v>26.47</c:v>
                </c:pt>
                <c:pt idx="67">
                  <c:v>56.79</c:v>
                </c:pt>
                <c:pt idx="68">
                  <c:v>14</c:v>
                </c:pt>
                <c:pt idx="69">
                  <c:v>49.5</c:v>
                </c:pt>
                <c:pt idx="70">
                  <c:v>0</c:v>
                </c:pt>
                <c:pt idx="71">
                  <c:v>15.91</c:v>
                </c:pt>
                <c:pt idx="72">
                  <c:v>0</c:v>
                </c:pt>
                <c:pt idx="73">
                  <c:v>38.85</c:v>
                </c:pt>
                <c:pt idx="74">
                  <c:v>25.13</c:v>
                </c:pt>
                <c:pt idx="75">
                  <c:v>22.56</c:v>
                </c:pt>
                <c:pt idx="76">
                  <c:v>24.75</c:v>
                </c:pt>
                <c:pt idx="77">
                  <c:v>43.03</c:v>
                </c:pt>
                <c:pt idx="78">
                  <c:v>19.5</c:v>
                </c:pt>
                <c:pt idx="79">
                  <c:v>27.84</c:v>
                </c:pt>
                <c:pt idx="80">
                  <c:v>12.38</c:v>
                </c:pt>
                <c:pt idx="81">
                  <c:v>20.32</c:v>
                </c:pt>
                <c:pt idx="82">
                  <c:v>33.67</c:v>
                </c:pt>
                <c:pt idx="83">
                  <c:v>11.59</c:v>
                </c:pt>
                <c:pt idx="84">
                  <c:v>29.92</c:v>
                </c:pt>
                <c:pt idx="85">
                  <c:v>4.7699999999999996</c:v>
                </c:pt>
                <c:pt idx="86">
                  <c:v>24.54</c:v>
                </c:pt>
                <c:pt idx="87">
                  <c:v>22.74</c:v>
                </c:pt>
                <c:pt idx="88">
                  <c:v>29.99</c:v>
                </c:pt>
                <c:pt idx="89">
                  <c:v>24.14</c:v>
                </c:pt>
                <c:pt idx="90">
                  <c:v>145.41999999999999</c:v>
                </c:pt>
                <c:pt idx="91">
                  <c:v>19.47</c:v>
                </c:pt>
                <c:pt idx="92">
                  <c:v>2.59</c:v>
                </c:pt>
                <c:pt idx="93">
                  <c:v>34.58</c:v>
                </c:pt>
                <c:pt idx="94">
                  <c:v>41.4</c:v>
                </c:pt>
                <c:pt idx="95">
                  <c:v>153.59</c:v>
                </c:pt>
                <c:pt idx="96">
                  <c:v>135.31</c:v>
                </c:pt>
                <c:pt idx="97">
                  <c:v>198.84</c:v>
                </c:pt>
                <c:pt idx="98">
                  <c:v>20.85</c:v>
                </c:pt>
                <c:pt idx="99">
                  <c:v>9.36</c:v>
                </c:pt>
                <c:pt idx="100">
                  <c:v>22.72</c:v>
                </c:pt>
                <c:pt idx="101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3-4B07-8D71-38495FF2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7744"/>
        <c:axId val="1615844480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CO</a:t>
                </a:r>
                <a:r>
                  <a:rPr lang="en-GB" sz="1000" b="1" i="0" u="none" strike="noStrike" kern="1200" baseline="-25000">
                    <a:solidFill>
                      <a:sysClr val="windowText" lastClr="000000"/>
                    </a:solidFill>
                  </a:rPr>
                  <a:t>2 </a:t>
                </a:r>
                <a:r>
                  <a:rPr lang="en-GB" baseline="0"/>
                  <a:t>Capture,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6158444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Recovery of CO2,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77744"/>
        <c:crosses val="max"/>
        <c:crossBetween val="between"/>
      </c:valAx>
      <c:catAx>
        <c:axId val="3437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8444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'All Run w Tables'!$U$5:$U$106</c:f>
              <c:numCache>
                <c:formatCode>General</c:formatCode>
                <c:ptCount val="102"/>
                <c:pt idx="0">
                  <c:v>5.08</c:v>
                </c:pt>
                <c:pt idx="1">
                  <c:v>2.04</c:v>
                </c:pt>
                <c:pt idx="2">
                  <c:v>6.89</c:v>
                </c:pt>
                <c:pt idx="3">
                  <c:v>5.67</c:v>
                </c:pt>
                <c:pt idx="4">
                  <c:v>0</c:v>
                </c:pt>
                <c:pt idx="5">
                  <c:v>24.82</c:v>
                </c:pt>
                <c:pt idx="6">
                  <c:v>0</c:v>
                </c:pt>
                <c:pt idx="7">
                  <c:v>16.95</c:v>
                </c:pt>
                <c:pt idx="8">
                  <c:v>9.86</c:v>
                </c:pt>
                <c:pt idx="9">
                  <c:v>6.01</c:v>
                </c:pt>
                <c:pt idx="10">
                  <c:v>12.22</c:v>
                </c:pt>
                <c:pt idx="11">
                  <c:v>11.15</c:v>
                </c:pt>
                <c:pt idx="12">
                  <c:v>8.76</c:v>
                </c:pt>
                <c:pt idx="13">
                  <c:v>13.1</c:v>
                </c:pt>
                <c:pt idx="14">
                  <c:v>19.82</c:v>
                </c:pt>
                <c:pt idx="15">
                  <c:v>5.34</c:v>
                </c:pt>
                <c:pt idx="16">
                  <c:v>0</c:v>
                </c:pt>
                <c:pt idx="17">
                  <c:v>9.76</c:v>
                </c:pt>
                <c:pt idx="18">
                  <c:v>12.97</c:v>
                </c:pt>
                <c:pt idx="19">
                  <c:v>4.46</c:v>
                </c:pt>
                <c:pt idx="20">
                  <c:v>10.97</c:v>
                </c:pt>
                <c:pt idx="21">
                  <c:v>16.079999999999998</c:v>
                </c:pt>
                <c:pt idx="22">
                  <c:v>9.94</c:v>
                </c:pt>
                <c:pt idx="23">
                  <c:v>8.16</c:v>
                </c:pt>
                <c:pt idx="24">
                  <c:v>7.52</c:v>
                </c:pt>
                <c:pt idx="25">
                  <c:v>7.29</c:v>
                </c:pt>
                <c:pt idx="26">
                  <c:v>6.35</c:v>
                </c:pt>
                <c:pt idx="27">
                  <c:v>8.51</c:v>
                </c:pt>
                <c:pt idx="28">
                  <c:v>2.2200000000000002</c:v>
                </c:pt>
                <c:pt idx="29">
                  <c:v>6.64</c:v>
                </c:pt>
                <c:pt idx="30">
                  <c:v>5.61</c:v>
                </c:pt>
                <c:pt idx="31">
                  <c:v>2</c:v>
                </c:pt>
                <c:pt idx="32">
                  <c:v>2.91</c:v>
                </c:pt>
                <c:pt idx="33">
                  <c:v>4.84</c:v>
                </c:pt>
                <c:pt idx="34">
                  <c:v>2.39</c:v>
                </c:pt>
                <c:pt idx="35">
                  <c:v>2.5099999999999998</c:v>
                </c:pt>
                <c:pt idx="36">
                  <c:v>3.8</c:v>
                </c:pt>
                <c:pt idx="37">
                  <c:v>5.62</c:v>
                </c:pt>
                <c:pt idx="38">
                  <c:v>0</c:v>
                </c:pt>
                <c:pt idx="39">
                  <c:v>6.4</c:v>
                </c:pt>
                <c:pt idx="40">
                  <c:v>46.67</c:v>
                </c:pt>
                <c:pt idx="41">
                  <c:v>3.47</c:v>
                </c:pt>
                <c:pt idx="42">
                  <c:v>3.82</c:v>
                </c:pt>
                <c:pt idx="43">
                  <c:v>54.55</c:v>
                </c:pt>
                <c:pt idx="44">
                  <c:v>74.91</c:v>
                </c:pt>
                <c:pt idx="45">
                  <c:v>51.55</c:v>
                </c:pt>
                <c:pt idx="46">
                  <c:v>18.690000000000001</c:v>
                </c:pt>
                <c:pt idx="47">
                  <c:v>12.08</c:v>
                </c:pt>
                <c:pt idx="48">
                  <c:v>16.059999999999999</c:v>
                </c:pt>
                <c:pt idx="49">
                  <c:v>11.98</c:v>
                </c:pt>
                <c:pt idx="50">
                  <c:v>13.66</c:v>
                </c:pt>
                <c:pt idx="51">
                  <c:v>14.87</c:v>
                </c:pt>
                <c:pt idx="52">
                  <c:v>12.91</c:v>
                </c:pt>
                <c:pt idx="53">
                  <c:v>15.08</c:v>
                </c:pt>
                <c:pt idx="54">
                  <c:v>18.850000000000001</c:v>
                </c:pt>
                <c:pt idx="55">
                  <c:v>14.44</c:v>
                </c:pt>
                <c:pt idx="56">
                  <c:v>18.3</c:v>
                </c:pt>
                <c:pt idx="57">
                  <c:v>17.55</c:v>
                </c:pt>
                <c:pt idx="58">
                  <c:v>41.73</c:v>
                </c:pt>
                <c:pt idx="59">
                  <c:v>14.53</c:v>
                </c:pt>
                <c:pt idx="60">
                  <c:v>8.94</c:v>
                </c:pt>
                <c:pt idx="61">
                  <c:v>16.010000000000002</c:v>
                </c:pt>
                <c:pt idx="62">
                  <c:v>30.22</c:v>
                </c:pt>
                <c:pt idx="63">
                  <c:v>98.61</c:v>
                </c:pt>
                <c:pt idx="64">
                  <c:v>44.7</c:v>
                </c:pt>
                <c:pt idx="65">
                  <c:v>72.3</c:v>
                </c:pt>
                <c:pt idx="66">
                  <c:v>26.47</c:v>
                </c:pt>
                <c:pt idx="67">
                  <c:v>56.79</c:v>
                </c:pt>
                <c:pt idx="68">
                  <c:v>14</c:v>
                </c:pt>
                <c:pt idx="69">
                  <c:v>49.5</c:v>
                </c:pt>
                <c:pt idx="70">
                  <c:v>0</c:v>
                </c:pt>
                <c:pt idx="71">
                  <c:v>15.91</c:v>
                </c:pt>
                <c:pt idx="72">
                  <c:v>0</c:v>
                </c:pt>
                <c:pt idx="73">
                  <c:v>38.85</c:v>
                </c:pt>
                <c:pt idx="74">
                  <c:v>25.13</c:v>
                </c:pt>
                <c:pt idx="75">
                  <c:v>22.56</c:v>
                </c:pt>
                <c:pt idx="76">
                  <c:v>24.75</c:v>
                </c:pt>
                <c:pt idx="77">
                  <c:v>43.03</c:v>
                </c:pt>
                <c:pt idx="78">
                  <c:v>19.5</c:v>
                </c:pt>
                <c:pt idx="79">
                  <c:v>27.84</c:v>
                </c:pt>
                <c:pt idx="80">
                  <c:v>12.38</c:v>
                </c:pt>
                <c:pt idx="81">
                  <c:v>20.32</c:v>
                </c:pt>
                <c:pt idx="82">
                  <c:v>33.67</c:v>
                </c:pt>
                <c:pt idx="83">
                  <c:v>11.59</c:v>
                </c:pt>
                <c:pt idx="84">
                  <c:v>29.92</c:v>
                </c:pt>
                <c:pt idx="85">
                  <c:v>4.7699999999999996</c:v>
                </c:pt>
                <c:pt idx="86">
                  <c:v>24.54</c:v>
                </c:pt>
                <c:pt idx="87">
                  <c:v>22.74</c:v>
                </c:pt>
                <c:pt idx="88">
                  <c:v>29.99</c:v>
                </c:pt>
                <c:pt idx="89">
                  <c:v>24.14</c:v>
                </c:pt>
                <c:pt idx="90">
                  <c:v>145.41999999999999</c:v>
                </c:pt>
                <c:pt idx="91">
                  <c:v>19.47</c:v>
                </c:pt>
                <c:pt idx="92">
                  <c:v>2.59</c:v>
                </c:pt>
                <c:pt idx="93">
                  <c:v>34.58</c:v>
                </c:pt>
                <c:pt idx="94">
                  <c:v>41.4</c:v>
                </c:pt>
                <c:pt idx="95">
                  <c:v>153.59</c:v>
                </c:pt>
                <c:pt idx="96">
                  <c:v>135.31</c:v>
                </c:pt>
                <c:pt idx="97">
                  <c:v>198.84</c:v>
                </c:pt>
                <c:pt idx="98">
                  <c:v>20.85</c:v>
                </c:pt>
                <c:pt idx="99">
                  <c:v>9.36</c:v>
                </c:pt>
                <c:pt idx="100">
                  <c:v>22.72</c:v>
                </c:pt>
                <c:pt idx="101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9-43A6-8793-73AF02DB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210351"/>
        <c:axId val="1138649703"/>
      </c:lineChart>
      <c:catAx>
        <c:axId val="21821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auto val="1"/>
        <c:lblAlgn val="ctr"/>
        <c:lblOffset val="100"/>
        <c:noMultiLvlLbl val="1"/>
      </c:catAx>
      <c:valAx>
        <c:axId val="1138649703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Daily Recovery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'All Run w Tables'!$S$5:$S$106</c:f>
              <c:numCache>
                <c:formatCode>0.00</c:formatCode>
                <c:ptCount val="102"/>
                <c:pt idx="0">
                  <c:v>0.20161057866666754</c:v>
                </c:pt>
                <c:pt idx="1">
                  <c:v>0.20161057866666754</c:v>
                </c:pt>
                <c:pt idx="2">
                  <c:v>0.48330359999999845</c:v>
                </c:pt>
                <c:pt idx="3" formatCode="General">
                  <c:v>0.46</c:v>
                </c:pt>
                <c:pt idx="4" formatCode="General">
                  <c:v>0</c:v>
                </c:pt>
                <c:pt idx="5" formatCode="General">
                  <c:v>1.36</c:v>
                </c:pt>
                <c:pt idx="6" formatCode="General">
                  <c:v>1.35</c:v>
                </c:pt>
                <c:pt idx="7" formatCode="General">
                  <c:v>1.34</c:v>
                </c:pt>
                <c:pt idx="8" formatCode="General">
                  <c:v>0.67</c:v>
                </c:pt>
                <c:pt idx="9" formatCode="General">
                  <c:v>0.36</c:v>
                </c:pt>
                <c:pt idx="10" formatCode="General">
                  <c:v>0.62</c:v>
                </c:pt>
                <c:pt idx="11" formatCode="General">
                  <c:v>0.72</c:v>
                </c:pt>
                <c:pt idx="12" formatCode="General">
                  <c:v>0.66</c:v>
                </c:pt>
                <c:pt idx="13" formatCode="General">
                  <c:v>0.64</c:v>
                </c:pt>
                <c:pt idx="14" formatCode="General">
                  <c:v>0.67</c:v>
                </c:pt>
                <c:pt idx="15" formatCode="General">
                  <c:v>0.46</c:v>
                </c:pt>
                <c:pt idx="16" formatCode="General">
                  <c:v>0.37</c:v>
                </c:pt>
                <c:pt idx="17" formatCode="General">
                  <c:v>0.59</c:v>
                </c:pt>
                <c:pt idx="18" formatCode="General">
                  <c:v>0.63</c:v>
                </c:pt>
                <c:pt idx="19" formatCode="General">
                  <c:v>0.44</c:v>
                </c:pt>
                <c:pt idx="20" formatCode="General">
                  <c:v>0.45</c:v>
                </c:pt>
                <c:pt idx="21" formatCode="General">
                  <c:v>0.54</c:v>
                </c:pt>
                <c:pt idx="22" formatCode="General">
                  <c:v>0.56000000000000005</c:v>
                </c:pt>
                <c:pt idx="23" formatCode="General">
                  <c:v>0.25</c:v>
                </c:pt>
                <c:pt idx="24" formatCode="General">
                  <c:v>0.22</c:v>
                </c:pt>
                <c:pt idx="25" formatCode="General">
                  <c:v>0.23</c:v>
                </c:pt>
                <c:pt idx="26" formatCode="General">
                  <c:v>0.2</c:v>
                </c:pt>
                <c:pt idx="27" formatCode="General">
                  <c:v>0.27</c:v>
                </c:pt>
                <c:pt idx="28" formatCode="General">
                  <c:v>0.2</c:v>
                </c:pt>
                <c:pt idx="29" formatCode="General">
                  <c:v>0.2</c:v>
                </c:pt>
                <c:pt idx="30" formatCode="General">
                  <c:v>0.23</c:v>
                </c:pt>
                <c:pt idx="31" formatCode="General">
                  <c:v>0.14000000000000001</c:v>
                </c:pt>
                <c:pt idx="32" formatCode="General">
                  <c:v>0.18</c:v>
                </c:pt>
                <c:pt idx="33" formatCode="General">
                  <c:v>0.18</c:v>
                </c:pt>
                <c:pt idx="34" formatCode="General">
                  <c:v>0.12</c:v>
                </c:pt>
                <c:pt idx="35" formatCode="General">
                  <c:v>0.22</c:v>
                </c:pt>
                <c:pt idx="36" formatCode="General">
                  <c:v>0.36</c:v>
                </c:pt>
                <c:pt idx="37" formatCode="General">
                  <c:v>0.51</c:v>
                </c:pt>
                <c:pt idx="38" formatCode="General">
                  <c:v>0</c:v>
                </c:pt>
                <c:pt idx="39" formatCode="General">
                  <c:v>0.37</c:v>
                </c:pt>
                <c:pt idx="40" formatCode="General">
                  <c:v>0.42</c:v>
                </c:pt>
                <c:pt idx="41" formatCode="General">
                  <c:v>0.28999999999999998</c:v>
                </c:pt>
                <c:pt idx="42" formatCode="General">
                  <c:v>0.08</c:v>
                </c:pt>
                <c:pt idx="43" formatCode="General">
                  <c:v>0.14000000000000001</c:v>
                </c:pt>
                <c:pt idx="44" formatCode="General">
                  <c:v>0.99</c:v>
                </c:pt>
                <c:pt idx="45" formatCode="General">
                  <c:v>1.01</c:v>
                </c:pt>
                <c:pt idx="46" formatCode="General">
                  <c:v>0.68</c:v>
                </c:pt>
                <c:pt idx="47" formatCode="General">
                  <c:v>0.72</c:v>
                </c:pt>
                <c:pt idx="48" formatCode="General">
                  <c:v>0.73</c:v>
                </c:pt>
                <c:pt idx="49" formatCode="General">
                  <c:v>0.6</c:v>
                </c:pt>
                <c:pt idx="50" formatCode="General">
                  <c:v>0.78</c:v>
                </c:pt>
                <c:pt idx="51" formatCode="General">
                  <c:v>0.77</c:v>
                </c:pt>
                <c:pt idx="52" formatCode="General">
                  <c:v>0.7</c:v>
                </c:pt>
                <c:pt idx="53" formatCode="General">
                  <c:v>0.81</c:v>
                </c:pt>
                <c:pt idx="54" formatCode="General">
                  <c:v>0.97</c:v>
                </c:pt>
                <c:pt idx="55" formatCode="General">
                  <c:v>0.78</c:v>
                </c:pt>
                <c:pt idx="56" formatCode="General">
                  <c:v>0.66</c:v>
                </c:pt>
                <c:pt idx="57" formatCode="General">
                  <c:v>0.87</c:v>
                </c:pt>
                <c:pt idx="58" formatCode="General">
                  <c:v>0.57999999999999996</c:v>
                </c:pt>
                <c:pt idx="59" formatCode="General">
                  <c:v>0.63</c:v>
                </c:pt>
                <c:pt idx="60" formatCode="General">
                  <c:v>0.31</c:v>
                </c:pt>
                <c:pt idx="61" formatCode="General">
                  <c:v>0.44</c:v>
                </c:pt>
                <c:pt idx="62" formatCode="General">
                  <c:v>0.7</c:v>
                </c:pt>
                <c:pt idx="63" formatCode="General">
                  <c:v>0.83</c:v>
                </c:pt>
                <c:pt idx="64" formatCode="General">
                  <c:v>0.46</c:v>
                </c:pt>
                <c:pt idx="65" formatCode="General">
                  <c:v>0.75</c:v>
                </c:pt>
                <c:pt idx="66" formatCode="General">
                  <c:v>0.44</c:v>
                </c:pt>
                <c:pt idx="67" formatCode="General">
                  <c:v>0.9</c:v>
                </c:pt>
                <c:pt idx="68" formatCode="General">
                  <c:v>0.51</c:v>
                </c:pt>
                <c:pt idx="69" formatCode="General">
                  <c:v>0.65</c:v>
                </c:pt>
                <c:pt idx="70" formatCode="General">
                  <c:v>0</c:v>
                </c:pt>
                <c:pt idx="71" formatCode="General">
                  <c:v>1.46</c:v>
                </c:pt>
                <c:pt idx="72" formatCode="General">
                  <c:v>0</c:v>
                </c:pt>
                <c:pt idx="73" formatCode="General">
                  <c:v>1.24</c:v>
                </c:pt>
                <c:pt idx="74" formatCode="General">
                  <c:v>1.48</c:v>
                </c:pt>
                <c:pt idx="75" formatCode="General">
                  <c:v>1.21</c:v>
                </c:pt>
                <c:pt idx="76" formatCode="General">
                  <c:v>1.33</c:v>
                </c:pt>
                <c:pt idx="77" formatCode="General">
                  <c:v>2.2999999999999998</c:v>
                </c:pt>
                <c:pt idx="78" formatCode="General">
                  <c:v>1.18</c:v>
                </c:pt>
                <c:pt idx="79" formatCode="General">
                  <c:v>0.95</c:v>
                </c:pt>
                <c:pt idx="80" formatCode="General">
                  <c:v>0.46</c:v>
                </c:pt>
                <c:pt idx="81" formatCode="General">
                  <c:v>1.05</c:v>
                </c:pt>
                <c:pt idx="82" formatCode="General">
                  <c:v>1.8</c:v>
                </c:pt>
                <c:pt idx="83" formatCode="General">
                  <c:v>0.56000000000000005</c:v>
                </c:pt>
                <c:pt idx="84" formatCode="General">
                  <c:v>1.1000000000000001</c:v>
                </c:pt>
                <c:pt idx="85" formatCode="General">
                  <c:v>0.35</c:v>
                </c:pt>
                <c:pt idx="86" formatCode="General">
                  <c:v>0.6</c:v>
                </c:pt>
                <c:pt idx="87" formatCode="General">
                  <c:v>1.32</c:v>
                </c:pt>
                <c:pt idx="88" formatCode="General">
                  <c:v>0.6</c:v>
                </c:pt>
                <c:pt idx="89" formatCode="General">
                  <c:v>0.7</c:v>
                </c:pt>
                <c:pt idx="90" formatCode="General">
                  <c:v>2.5</c:v>
                </c:pt>
                <c:pt idx="91" formatCode="General">
                  <c:v>0.5</c:v>
                </c:pt>
                <c:pt idx="92" formatCode="General">
                  <c:v>0.04</c:v>
                </c:pt>
                <c:pt idx="93" formatCode="General">
                  <c:v>0.83</c:v>
                </c:pt>
                <c:pt idx="94" formatCode="General">
                  <c:v>0.85</c:v>
                </c:pt>
                <c:pt idx="95" formatCode="General">
                  <c:v>2.81</c:v>
                </c:pt>
                <c:pt idx="96" formatCode="General">
                  <c:v>2</c:v>
                </c:pt>
                <c:pt idx="97" formatCode="General">
                  <c:v>3.98</c:v>
                </c:pt>
                <c:pt idx="98" formatCode="General">
                  <c:v>0.15</c:v>
                </c:pt>
                <c:pt idx="99" formatCode="General">
                  <c:v>0.13</c:v>
                </c:pt>
                <c:pt idx="100" formatCode="General">
                  <c:v>0.19</c:v>
                </c:pt>
                <c:pt idx="101" formatCode="General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5-4009-99A9-8D8A55699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217"/>
        <c:axId val="526601337"/>
      </c:lineChart>
      <c:catAx>
        <c:axId val="633555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auto val="1"/>
        <c:lblAlgn val="ctr"/>
        <c:lblOffset val="100"/>
        <c:noMultiLvlLbl val="1"/>
      </c:catAx>
      <c:valAx>
        <c:axId val="526601337"/>
        <c:scaling>
          <c:orientation val="minMax"/>
          <c:max val="2.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between"/>
        <c:majorUnit val="0.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 per Cycle
Run 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70C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2.3442872439079693E-2"/>
                  <c:y val="-0.24835503538711357"/>
                </c:manualLayout>
              </c:layout>
              <c:numFmt formatCode="General" sourceLinked="0"/>
            </c:trendlineLbl>
          </c:trendline>
          <c:val>
            <c:numRef>
              <c:f>'All Run w Tables'!$C$5:$C$106</c:f>
              <c:numCache>
                <c:formatCode>h:mm</c:formatCode>
                <c:ptCount val="102"/>
                <c:pt idx="0">
                  <c:v>0.27916666666666667</c:v>
                </c:pt>
                <c:pt idx="1">
                  <c:v>0.3347222222222222</c:v>
                </c:pt>
                <c:pt idx="2">
                  <c:v>0.24722222222222218</c:v>
                </c:pt>
                <c:pt idx="3">
                  <c:v>0.2805555555555555</c:v>
                </c:pt>
                <c:pt idx="4">
                  <c:v>0.27222222222222225</c:v>
                </c:pt>
                <c:pt idx="5">
                  <c:v>0.22152777777777782</c:v>
                </c:pt>
                <c:pt idx="6">
                  <c:v>0.29652777777777778</c:v>
                </c:pt>
                <c:pt idx="7">
                  <c:v>0.27222222222222225</c:v>
                </c:pt>
                <c:pt idx="8">
                  <c:v>0.24791666666666662</c:v>
                </c:pt>
                <c:pt idx="9">
                  <c:v>0.2541666666666666</c:v>
                </c:pt>
                <c:pt idx="10">
                  <c:v>0.22361111111111115</c:v>
                </c:pt>
                <c:pt idx="11">
                  <c:v>0.21527777777777785</c:v>
                </c:pt>
                <c:pt idx="12">
                  <c:v>0.25277777777777777</c:v>
                </c:pt>
                <c:pt idx="13">
                  <c:v>0.2729166666666667</c:v>
                </c:pt>
                <c:pt idx="14">
                  <c:v>0.21944444444444444</c:v>
                </c:pt>
                <c:pt idx="15">
                  <c:v>0.27083333333333326</c:v>
                </c:pt>
                <c:pt idx="16">
                  <c:v>0.18472222222222223</c:v>
                </c:pt>
                <c:pt idx="17">
                  <c:v>0.24166666666666664</c:v>
                </c:pt>
                <c:pt idx="18">
                  <c:v>0.22291666666666671</c:v>
                </c:pt>
                <c:pt idx="19">
                  <c:v>0.21666666666666667</c:v>
                </c:pt>
                <c:pt idx="20">
                  <c:v>0.17777777777777781</c:v>
                </c:pt>
                <c:pt idx="21">
                  <c:v>0.2048611111111111</c:v>
                </c:pt>
                <c:pt idx="22">
                  <c:v>0.21597222222222223</c:v>
                </c:pt>
                <c:pt idx="23">
                  <c:v>0.2277777777777778</c:v>
                </c:pt>
                <c:pt idx="24">
                  <c:v>0.21250000000000002</c:v>
                </c:pt>
                <c:pt idx="25">
                  <c:v>0.23958333333333337</c:v>
                </c:pt>
                <c:pt idx="26">
                  <c:v>0.19930555555555551</c:v>
                </c:pt>
                <c:pt idx="27">
                  <c:v>0.22083333333333338</c:v>
                </c:pt>
                <c:pt idx="28">
                  <c:v>0.25486111111111115</c:v>
                </c:pt>
                <c:pt idx="29">
                  <c:v>0.18958333333333338</c:v>
                </c:pt>
                <c:pt idx="30">
                  <c:v>0.2277777777777778</c:v>
                </c:pt>
                <c:pt idx="31">
                  <c:v>0.22499999999999998</c:v>
                </c:pt>
                <c:pt idx="32">
                  <c:v>0.31250000000000006</c:v>
                </c:pt>
                <c:pt idx="33">
                  <c:v>0.21666666666666667</c:v>
                </c:pt>
                <c:pt idx="34">
                  <c:v>0.22013888888888888</c:v>
                </c:pt>
                <c:pt idx="35">
                  <c:v>0.26944444444444443</c:v>
                </c:pt>
                <c:pt idx="36">
                  <c:v>0.28819444444444442</c:v>
                </c:pt>
                <c:pt idx="37">
                  <c:v>0.27013888888888887</c:v>
                </c:pt>
                <c:pt idx="38">
                  <c:v>0.2638888888888889</c:v>
                </c:pt>
                <c:pt idx="39">
                  <c:v>0.23472222222222222</c:v>
                </c:pt>
                <c:pt idx="40">
                  <c:v>0.25277777777777777</c:v>
                </c:pt>
                <c:pt idx="41">
                  <c:v>0.25555555555555554</c:v>
                </c:pt>
                <c:pt idx="42">
                  <c:v>0.23124999999999996</c:v>
                </c:pt>
                <c:pt idx="43">
                  <c:v>0.20763888888888887</c:v>
                </c:pt>
                <c:pt idx="44">
                  <c:v>0.21736111111111106</c:v>
                </c:pt>
                <c:pt idx="45">
                  <c:v>0.20555555555555555</c:v>
                </c:pt>
                <c:pt idx="46">
                  <c:v>0.21111111111111114</c:v>
                </c:pt>
                <c:pt idx="47">
                  <c:v>0.22500000000000003</c:v>
                </c:pt>
                <c:pt idx="48">
                  <c:v>0.21180555555555558</c:v>
                </c:pt>
                <c:pt idx="49">
                  <c:v>0.21249999999999997</c:v>
                </c:pt>
                <c:pt idx="50">
                  <c:v>0.21180555555555552</c:v>
                </c:pt>
                <c:pt idx="51">
                  <c:v>0.21527777777777773</c:v>
                </c:pt>
                <c:pt idx="52">
                  <c:v>0.21666666666666662</c:v>
                </c:pt>
                <c:pt idx="53">
                  <c:v>0.22222222222222227</c:v>
                </c:pt>
                <c:pt idx="54">
                  <c:v>0.21875</c:v>
                </c:pt>
                <c:pt idx="55">
                  <c:v>0.28750000000000003</c:v>
                </c:pt>
                <c:pt idx="56">
                  <c:v>0.21180555555555552</c:v>
                </c:pt>
                <c:pt idx="57">
                  <c:v>0.22013888888888894</c:v>
                </c:pt>
                <c:pt idx="58">
                  <c:v>0.21388888888888885</c:v>
                </c:pt>
                <c:pt idx="59">
                  <c:v>0.25208333333333338</c:v>
                </c:pt>
                <c:pt idx="60">
                  <c:v>0.2097222222222222</c:v>
                </c:pt>
                <c:pt idx="61">
                  <c:v>0.21388888888888891</c:v>
                </c:pt>
                <c:pt idx="62">
                  <c:v>0.25138888888888883</c:v>
                </c:pt>
                <c:pt idx="63">
                  <c:v>0.23750000000000004</c:v>
                </c:pt>
                <c:pt idx="64">
                  <c:v>0.18958333333333338</c:v>
                </c:pt>
                <c:pt idx="65">
                  <c:v>0.21736111111111106</c:v>
                </c:pt>
                <c:pt idx="66">
                  <c:v>0.28819444444444442</c:v>
                </c:pt>
                <c:pt idx="67">
                  <c:v>0.25</c:v>
                </c:pt>
                <c:pt idx="68">
                  <c:v>0.2048611111111111</c:v>
                </c:pt>
                <c:pt idx="69">
                  <c:v>0.13402777777777775</c:v>
                </c:pt>
                <c:pt idx="70">
                  <c:v>0.18263888888888885</c:v>
                </c:pt>
                <c:pt idx="71">
                  <c:v>0.23541666666666666</c:v>
                </c:pt>
                <c:pt idx="72">
                  <c:v>0.17291666666666661</c:v>
                </c:pt>
                <c:pt idx="73">
                  <c:v>0.21944444444444444</c:v>
                </c:pt>
                <c:pt idx="74">
                  <c:v>0.19861111111111113</c:v>
                </c:pt>
                <c:pt idx="75">
                  <c:v>0.27430555555555558</c:v>
                </c:pt>
                <c:pt idx="76">
                  <c:v>0.25625000000000003</c:v>
                </c:pt>
                <c:pt idx="77">
                  <c:v>0.15000000000000002</c:v>
                </c:pt>
                <c:pt idx="78">
                  <c:v>0.26805555555555549</c:v>
                </c:pt>
                <c:pt idx="79">
                  <c:v>0.32430555555555557</c:v>
                </c:pt>
                <c:pt idx="80">
                  <c:v>0.22777777777777775</c:v>
                </c:pt>
                <c:pt idx="81">
                  <c:v>0.26319444444444451</c:v>
                </c:pt>
                <c:pt idx="82">
                  <c:v>0.24722222222222223</c:v>
                </c:pt>
                <c:pt idx="83">
                  <c:v>0.23472222222222222</c:v>
                </c:pt>
                <c:pt idx="84">
                  <c:v>0.22916666666666663</c:v>
                </c:pt>
                <c:pt idx="85">
                  <c:v>0.27083333333333331</c:v>
                </c:pt>
                <c:pt idx="86">
                  <c:v>0.29097222222222224</c:v>
                </c:pt>
                <c:pt idx="87">
                  <c:v>0.3652777777777777</c:v>
                </c:pt>
                <c:pt idx="88">
                  <c:v>0.31666666666666665</c:v>
                </c:pt>
                <c:pt idx="89">
                  <c:v>0.30694444444444446</c:v>
                </c:pt>
                <c:pt idx="90">
                  <c:v>0.31597222222222227</c:v>
                </c:pt>
                <c:pt idx="91">
                  <c:v>0.27847222222222223</c:v>
                </c:pt>
                <c:pt idx="92">
                  <c:v>0.2729166666666667</c:v>
                </c:pt>
                <c:pt idx="93">
                  <c:v>0.3263888888888889</c:v>
                </c:pt>
                <c:pt idx="94">
                  <c:v>0.28541666666666671</c:v>
                </c:pt>
                <c:pt idx="95">
                  <c:v>0.30763888888888885</c:v>
                </c:pt>
                <c:pt idx="96">
                  <c:v>0.27013888888888887</c:v>
                </c:pt>
                <c:pt idx="97">
                  <c:v>0.33055555555555555</c:v>
                </c:pt>
                <c:pt idx="98">
                  <c:v>0.28124999999999994</c:v>
                </c:pt>
                <c:pt idx="99">
                  <c:v>0.25972222222222219</c:v>
                </c:pt>
                <c:pt idx="100">
                  <c:v>0.22638888888888892</c:v>
                </c:pt>
                <c:pt idx="101">
                  <c:v>0.30347222222222225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04-4797-AA00-C6D96271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667578"/>
        <c:axId val="1045260324"/>
      </c:lineChart>
      <c:catAx>
        <c:axId val="156866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45260324"/>
        <c:crosses val="autoZero"/>
        <c:auto val="1"/>
        <c:lblAlgn val="ctr"/>
        <c:lblOffset val="100"/>
        <c:noMultiLvlLbl val="1"/>
      </c:catAx>
      <c:valAx>
        <c:axId val="1045260324"/>
        <c:scaling>
          <c:orientation val="minMax"/>
          <c:max val="0.3700000000000000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 of Operation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866757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CO₂ Concentration During Adsorption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Flue Gas Inlet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'All Run w Tables'!$F$5:$F$106</c:f>
              <c:numCache>
                <c:formatCode>General</c:formatCode>
                <c:ptCount val="102"/>
                <c:pt idx="0">
                  <c:v>14.9</c:v>
                </c:pt>
                <c:pt idx="1">
                  <c:v>14.9</c:v>
                </c:pt>
                <c:pt idx="2">
                  <c:v>14.9</c:v>
                </c:pt>
                <c:pt idx="3">
                  <c:v>14.9</c:v>
                </c:pt>
                <c:pt idx="4">
                  <c:v>14.9</c:v>
                </c:pt>
                <c:pt idx="5">
                  <c:v>14.9</c:v>
                </c:pt>
                <c:pt idx="6">
                  <c:v>14.9</c:v>
                </c:pt>
                <c:pt idx="7">
                  <c:v>14.9</c:v>
                </c:pt>
                <c:pt idx="8">
                  <c:v>14.9</c:v>
                </c:pt>
                <c:pt idx="9">
                  <c:v>14.9</c:v>
                </c:pt>
                <c:pt idx="10">
                  <c:v>14.9</c:v>
                </c:pt>
                <c:pt idx="11">
                  <c:v>14.9</c:v>
                </c:pt>
                <c:pt idx="12">
                  <c:v>14.9</c:v>
                </c:pt>
                <c:pt idx="13">
                  <c:v>14.9</c:v>
                </c:pt>
                <c:pt idx="14">
                  <c:v>14.9</c:v>
                </c:pt>
                <c:pt idx="15">
                  <c:v>14.9</c:v>
                </c:pt>
                <c:pt idx="16">
                  <c:v>14.9</c:v>
                </c:pt>
                <c:pt idx="17">
                  <c:v>14.9</c:v>
                </c:pt>
                <c:pt idx="18">
                  <c:v>14.9</c:v>
                </c:pt>
                <c:pt idx="19">
                  <c:v>14.9</c:v>
                </c:pt>
                <c:pt idx="20">
                  <c:v>14.9</c:v>
                </c:pt>
                <c:pt idx="21">
                  <c:v>14.9</c:v>
                </c:pt>
                <c:pt idx="22">
                  <c:v>14.9</c:v>
                </c:pt>
                <c:pt idx="23">
                  <c:v>14.9</c:v>
                </c:pt>
                <c:pt idx="24">
                  <c:v>14.9</c:v>
                </c:pt>
                <c:pt idx="25">
                  <c:v>14.9</c:v>
                </c:pt>
                <c:pt idx="26">
                  <c:v>14.9</c:v>
                </c:pt>
                <c:pt idx="27">
                  <c:v>14.9</c:v>
                </c:pt>
                <c:pt idx="28">
                  <c:v>14.9</c:v>
                </c:pt>
                <c:pt idx="29">
                  <c:v>14.9</c:v>
                </c:pt>
                <c:pt idx="30">
                  <c:v>14.900000000000006</c:v>
                </c:pt>
                <c:pt idx="31" formatCode="0.0">
                  <c:v>14.899999999999842</c:v>
                </c:pt>
                <c:pt idx="32">
                  <c:v>14.899999999999874</c:v>
                </c:pt>
                <c:pt idx="33">
                  <c:v>14.900000000000036</c:v>
                </c:pt>
                <c:pt idx="34">
                  <c:v>14.899999999999944</c:v>
                </c:pt>
                <c:pt idx="35">
                  <c:v>14.899999999999807</c:v>
                </c:pt>
                <c:pt idx="36">
                  <c:v>14.899999999999803</c:v>
                </c:pt>
                <c:pt idx="37">
                  <c:v>14.899999999999778</c:v>
                </c:pt>
                <c:pt idx="38">
                  <c:v>14.8999999999998</c:v>
                </c:pt>
                <c:pt idx="39" formatCode="0.00">
                  <c:v>10.977912087912072</c:v>
                </c:pt>
                <c:pt idx="40" formatCode="0.00">
                  <c:v>2.6081000000000087</c:v>
                </c:pt>
                <c:pt idx="41" formatCode="0.00">
                  <c:v>12.873928571428475</c:v>
                </c:pt>
                <c:pt idx="42" formatCode="0.00">
                  <c:v>5.5124528301886784</c:v>
                </c:pt>
                <c:pt idx="43" formatCode="0.00">
                  <c:v>1.1093617021276665</c:v>
                </c:pt>
                <c:pt idx="44" formatCode="0.00">
                  <c:v>5.0225531914893482</c:v>
                </c:pt>
                <c:pt idx="45" formatCode="0.00">
                  <c:v>6.5029924242424659</c:v>
                </c:pt>
                <c:pt idx="46" formatCode="0.00">
                  <c:v>12.370697674418622</c:v>
                </c:pt>
                <c:pt idx="47" formatCode="0.00">
                  <c:v>11.61625000000002</c:v>
                </c:pt>
                <c:pt idx="48" formatCode="0.00">
                  <c:v>11.990454545454499</c:v>
                </c:pt>
                <c:pt idx="49" formatCode="0.00">
                  <c:v>12.268936170212752</c:v>
                </c:pt>
                <c:pt idx="50" formatCode="0.00">
                  <c:v>12.6916666666667</c:v>
                </c:pt>
                <c:pt idx="51" formatCode="0.00">
                  <c:v>12.409473684210559</c:v>
                </c:pt>
                <c:pt idx="52" formatCode="0.00">
                  <c:v>12.34641509433961</c:v>
                </c:pt>
                <c:pt idx="53" formatCode="0.00">
                  <c:v>11.49393442622946</c:v>
                </c:pt>
                <c:pt idx="54" formatCode="0.00">
                  <c:v>12.741111111111087</c:v>
                </c:pt>
                <c:pt idx="55" formatCode="0.00">
                  <c:v>19.550000000000086</c:v>
                </c:pt>
                <c:pt idx="56" formatCode="0.00">
                  <c:v>11.687619047618997</c:v>
                </c:pt>
                <c:pt idx="57" formatCode="0.00">
                  <c:v>12.154803921568615</c:v>
                </c:pt>
                <c:pt idx="58" formatCode="0.00">
                  <c:v>11.806666666666679</c:v>
                </c:pt>
                <c:pt idx="59" formatCode="0.00">
                  <c:v>12.534285714285719</c:v>
                </c:pt>
                <c:pt idx="60" formatCode="0.00">
                  <c:v>13.075937500000004</c:v>
                </c:pt>
                <c:pt idx="61" formatCode="0.00">
                  <c:v>13.086666666666673</c:v>
                </c:pt>
                <c:pt idx="62" formatCode="0.00">
                  <c:v>12.893793103448248</c:v>
                </c:pt>
                <c:pt idx="63" formatCode="0.00">
                  <c:v>9.9641176470588224</c:v>
                </c:pt>
                <c:pt idx="64" formatCode="0.00">
                  <c:v>12.476470588235308</c:v>
                </c:pt>
                <c:pt idx="65" formatCode="0.00">
                  <c:v>12.307499999999983</c:v>
                </c:pt>
                <c:pt idx="66" formatCode="0.00">
                  <c:v>10.265263157894722</c:v>
                </c:pt>
                <c:pt idx="67" formatCode="0.00">
                  <c:v>10.156666666666659</c:v>
                </c:pt>
                <c:pt idx="68" formatCode="0.00">
                  <c:v>11.80710526315786</c:v>
                </c:pt>
                <c:pt idx="69" formatCode="0.00">
                  <c:v>12.885238095238131</c:v>
                </c:pt>
                <c:pt idx="70" formatCode="0.00">
                  <c:v>12.929999999999991</c:v>
                </c:pt>
                <c:pt idx="71" formatCode="0.00">
                  <c:v>13</c:v>
                </c:pt>
                <c:pt idx="72" formatCode="0.00">
                  <c:v>12.507884615384622</c:v>
                </c:pt>
                <c:pt idx="73" formatCode="0.00">
                  <c:v>13.014807692307738</c:v>
                </c:pt>
                <c:pt idx="74" formatCode="0.00">
                  <c:v>12.901093750000015</c:v>
                </c:pt>
                <c:pt idx="75" formatCode="0.00">
                  <c:v>12.3900000000001</c:v>
                </c:pt>
                <c:pt idx="76" formatCode="0.00">
                  <c:v>12.488253968254048</c:v>
                </c:pt>
                <c:pt idx="77" formatCode="0.00">
                  <c:v>12.311355932203433</c:v>
                </c:pt>
                <c:pt idx="78" formatCode="0.00">
                  <c:v>12.578529411764729</c:v>
                </c:pt>
                <c:pt idx="79" formatCode="0.00">
                  <c:v>14.550000000000081</c:v>
                </c:pt>
                <c:pt idx="80" formatCode="0.00">
                  <c:v>11.72543478260865</c:v>
                </c:pt>
                <c:pt idx="81" formatCode="0.00">
                  <c:v>11.517101449275415</c:v>
                </c:pt>
                <c:pt idx="82" formatCode="0.00">
                  <c:v>11.372753623188384</c:v>
                </c:pt>
                <c:pt idx="83" formatCode="0.00">
                  <c:v>11.474920634920689</c:v>
                </c:pt>
                <c:pt idx="84" formatCode="0.00">
                  <c:v>11.772439024390208</c:v>
                </c:pt>
                <c:pt idx="85" formatCode="0.00">
                  <c:v>11.000961538461512</c:v>
                </c:pt>
                <c:pt idx="86" formatCode="0.00">
                  <c:v>10.969047619047599</c:v>
                </c:pt>
                <c:pt idx="87" formatCode="0.00">
                  <c:v>19.261904761904766</c:v>
                </c:pt>
                <c:pt idx="88" formatCode="0.00">
                  <c:v>11.988837209302313</c:v>
                </c:pt>
                <c:pt idx="89" formatCode="0.00">
                  <c:v>13.65172413793103</c:v>
                </c:pt>
                <c:pt idx="90" formatCode="0.00">
                  <c:v>14.334999999999948</c:v>
                </c:pt>
                <c:pt idx="91" formatCode="0.00">
                  <c:v>14.148076923076914</c:v>
                </c:pt>
                <c:pt idx="92" formatCode="0.00">
                  <c:v>13.433749999999996</c:v>
                </c:pt>
                <c:pt idx="93" formatCode="0.00">
                  <c:v>14.001304347826096</c:v>
                </c:pt>
                <c:pt idx="94" formatCode="0.00">
                  <c:v>13.953000000000008</c:v>
                </c:pt>
                <c:pt idx="95" formatCode="0.00">
                  <c:v>14</c:v>
                </c:pt>
                <c:pt idx="96" formatCode="0.00">
                  <c:v>14.093333333333327</c:v>
                </c:pt>
                <c:pt idx="97" formatCode="0.00">
                  <c:v>11.583913043478271</c:v>
                </c:pt>
                <c:pt idx="98" formatCode="0.00">
                  <c:v>13.692307692307704</c:v>
                </c:pt>
                <c:pt idx="99" formatCode="0.00">
                  <c:v>13.799999999999972</c:v>
                </c:pt>
                <c:pt idx="100" formatCode="0.00">
                  <c:v>13.878571428571409</c:v>
                </c:pt>
                <c:pt idx="101">
                  <c:v>12.099999999999993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5A-4C20-90C1-A9EFE52DC90A}"/>
            </c:ext>
          </c:extLst>
        </c:ser>
        <c:ser>
          <c:idx val="1"/>
          <c:order val="1"/>
          <c:tx>
            <c:v>Reactor Effluent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'All Run w Tables'!$J$5:$J$106</c:f>
              <c:numCache>
                <c:formatCode>0.0000</c:formatCode>
                <c:ptCount val="102"/>
                <c:pt idx="0">
                  <c:v>5.0000000000000001E-4</c:v>
                </c:pt>
                <c:pt idx="1">
                  <c:v>1.5898584905660356E-4</c:v>
                </c:pt>
                <c:pt idx="2">
                  <c:v>1.6000000000000001E-3</c:v>
                </c:pt>
                <c:pt idx="3">
                  <c:v>5.9543478260869578E-4</c:v>
                </c:pt>
                <c:pt idx="4">
                  <c:v>5.0000000000000001E-4</c:v>
                </c:pt>
                <c:pt idx="5" formatCode="0.00000">
                  <c:v>4.0222222222222241E-5</c:v>
                </c:pt>
                <c:pt idx="6" formatCode="0.00000">
                  <c:v>0</c:v>
                </c:pt>
                <c:pt idx="7">
                  <c:v>6.9787804878048527E-4</c:v>
                </c:pt>
                <c:pt idx="8">
                  <c:v>7.4373417721518992E-4</c:v>
                </c:pt>
                <c:pt idx="9" formatCode="0.000">
                  <c:v>2.7598067632850433E-3</c:v>
                </c:pt>
                <c:pt idx="10">
                  <c:v>8.8038759689922552E-4</c:v>
                </c:pt>
                <c:pt idx="11" formatCode="0.000">
                  <c:v>1.2424336283185845E-3</c:v>
                </c:pt>
                <c:pt idx="12">
                  <c:v>4.7220136518771601E-4</c:v>
                </c:pt>
                <c:pt idx="13" formatCode="0.000">
                  <c:v>1.2670843989769824E-3</c:v>
                </c:pt>
                <c:pt idx="14" formatCode="0.000">
                  <c:v>6.0000000000000001E-3</c:v>
                </c:pt>
                <c:pt idx="15">
                  <c:v>8.622782874617732E-4</c:v>
                </c:pt>
                <c:pt idx="16">
                  <c:v>0</c:v>
                </c:pt>
                <c:pt idx="17" formatCode="0.000">
                  <c:v>2.0828723404255332E-3</c:v>
                </c:pt>
                <c:pt idx="18" formatCode="0.000">
                  <c:v>3.6769688385269142E-3</c:v>
                </c:pt>
                <c:pt idx="19" formatCode="0.000">
                  <c:v>1.4E-3</c:v>
                </c:pt>
                <c:pt idx="20" formatCode="0.000">
                  <c:v>0.01</c:v>
                </c:pt>
                <c:pt idx="21" formatCode="0.000">
                  <c:v>1.4825206611570219E-3</c:v>
                </c:pt>
                <c:pt idx="22" formatCode="0.000">
                  <c:v>1.9673287671232945E-3</c:v>
                </c:pt>
                <c:pt idx="23" formatCode="0.000">
                  <c:v>6.3147222222222337E-3</c:v>
                </c:pt>
                <c:pt idx="24" formatCode="0.000">
                  <c:v>1.0243127962085311E-3</c:v>
                </c:pt>
                <c:pt idx="25" formatCode="0.000">
                  <c:v>1.354E-3</c:v>
                </c:pt>
                <c:pt idx="26">
                  <c:v>7.9273809523809516E-4</c:v>
                </c:pt>
                <c:pt idx="27" formatCode="General">
                  <c:v>1.1010714285714283E-3</c:v>
                </c:pt>
                <c:pt idx="28" formatCode="General">
                  <c:v>6.0000000000000001E-3</c:v>
                </c:pt>
                <c:pt idx="29" formatCode="0.000">
                  <c:v>1.3751333333333331E-3</c:v>
                </c:pt>
                <c:pt idx="30" formatCode="0.00000">
                  <c:v>1.0817610062893101E-5</c:v>
                </c:pt>
                <c:pt idx="31">
                  <c:v>2.0572173913043466E-4</c:v>
                </c:pt>
                <c:pt idx="32" formatCode="General">
                  <c:v>1.6753036437246955E-4</c:v>
                </c:pt>
                <c:pt idx="33" formatCode="0.000">
                  <c:v>4.1015306122448997E-3</c:v>
                </c:pt>
                <c:pt idx="34" formatCode="0.000">
                  <c:v>1.6456692913385832E-3</c:v>
                </c:pt>
                <c:pt idx="35" formatCode="0.00000">
                  <c:v>9.9999999999998348E-6</c:v>
                </c:pt>
                <c:pt idx="36" formatCode="0.00000">
                  <c:v>9.9999999999998297E-6</c:v>
                </c:pt>
                <c:pt idx="37" formatCode="0.00000">
                  <c:v>9.9999999999998297E-6</c:v>
                </c:pt>
                <c:pt idx="38" formatCode="0.00000">
                  <c:v>9.9999999999998246E-6</c:v>
                </c:pt>
                <c:pt idx="39" formatCode="0.00000">
                  <c:v>9.9633699633698652E-6</c:v>
                </c:pt>
                <c:pt idx="40" formatCode="0.00000">
                  <c:v>9.9999999999998738E-6</c:v>
                </c:pt>
                <c:pt idx="41" formatCode="0.00000">
                  <c:v>0.14285714285714285</c:v>
                </c:pt>
                <c:pt idx="42" formatCode="0.0">
                  <c:v>0.11433962264150972</c:v>
                </c:pt>
                <c:pt idx="43" formatCode="0.0">
                  <c:v>0.11322695035461008</c:v>
                </c:pt>
                <c:pt idx="44" formatCode="0.0">
                  <c:v>0.4549999999999999</c:v>
                </c:pt>
                <c:pt idx="45" formatCode="0.0">
                  <c:v>0.10409090909090922</c:v>
                </c:pt>
                <c:pt idx="46" formatCode="0.0">
                  <c:v>7.0697674418604653E-2</c:v>
                </c:pt>
                <c:pt idx="47" formatCode="0.0">
                  <c:v>6.0156249999999967E-2</c:v>
                </c:pt>
                <c:pt idx="48" formatCode="0.0">
                  <c:v>8.1136363636363604E-2</c:v>
                </c:pt>
                <c:pt idx="49" formatCode="0.0">
                  <c:v>6.3404255319148936E-2</c:v>
                </c:pt>
                <c:pt idx="50" formatCode="0.0">
                  <c:v>4.9500000000000002E-2</c:v>
                </c:pt>
                <c:pt idx="51" formatCode="0.00">
                  <c:v>6.10526315789474E-2</c:v>
                </c:pt>
                <c:pt idx="52" formatCode="0.00">
                  <c:v>8.4528301886792431E-2</c:v>
                </c:pt>
                <c:pt idx="53" formatCode="0.00">
                  <c:v>5.1475409836065585E-2</c:v>
                </c:pt>
                <c:pt idx="54" formatCode="0.00">
                  <c:v>3.1111111111111114E-2</c:v>
                </c:pt>
                <c:pt idx="55" formatCode="0.00">
                  <c:v>0.31949999999999867</c:v>
                </c:pt>
                <c:pt idx="56" formatCode="0.00">
                  <c:v>8.3095238095238111E-2</c:v>
                </c:pt>
                <c:pt idx="57" formatCode="0.00">
                  <c:v>7.4705882352941205E-2</c:v>
                </c:pt>
                <c:pt idx="58" formatCode="0.00">
                  <c:v>0</c:v>
                </c:pt>
                <c:pt idx="59" formatCode="0.00">
                  <c:v>8.2448979591836738E-2</c:v>
                </c:pt>
                <c:pt idx="60" formatCode="0.00">
                  <c:v>1.9375E-2</c:v>
                </c:pt>
                <c:pt idx="61" formatCode="0.00">
                  <c:v>0.11</c:v>
                </c:pt>
                <c:pt idx="62" formatCode="0.00">
                  <c:v>0.12655172413793106</c:v>
                </c:pt>
                <c:pt idx="63" formatCode="0.00">
                  <c:v>0.10588235294117648</c:v>
                </c:pt>
                <c:pt idx="64" formatCode="0.00">
                  <c:v>0.13</c:v>
                </c:pt>
                <c:pt idx="65" formatCode="0.00">
                  <c:v>0.2566666666666666</c:v>
                </c:pt>
                <c:pt idx="66" formatCode="0.00">
                  <c:v>0.10052631578947367</c:v>
                </c:pt>
                <c:pt idx="67" formatCode="0.00">
                  <c:v>7.2222222222222215E-2</c:v>
                </c:pt>
                <c:pt idx="68" formatCode="0.00">
                  <c:v>4.8421052631578941E-2</c:v>
                </c:pt>
                <c:pt idx="69" formatCode="0.00">
                  <c:v>0.88952380952380961</c:v>
                </c:pt>
                <c:pt idx="70" formatCode="0.00">
                  <c:v>0.12222222222222225</c:v>
                </c:pt>
                <c:pt idx="71" formatCode="0.00">
                  <c:v>1.2636363636363637E-2</c:v>
                </c:pt>
                <c:pt idx="72" formatCode="0.00">
                  <c:v>3.096153846153846E-2</c:v>
                </c:pt>
                <c:pt idx="73" formatCode="0.00">
                  <c:v>3.865384615384615E-2</c:v>
                </c:pt>
                <c:pt idx="74" formatCode="0.00">
                  <c:v>4.0312499999999994E-2</c:v>
                </c:pt>
                <c:pt idx="75" formatCode="0.00">
                  <c:v>2.5576923076923077E-2</c:v>
                </c:pt>
                <c:pt idx="76" formatCode="0.00">
                  <c:v>2.7619047619047619E-2</c:v>
                </c:pt>
                <c:pt idx="77" formatCode="0.00">
                  <c:v>2.1864406779661019E-2</c:v>
                </c:pt>
                <c:pt idx="78" formatCode="0.00">
                  <c:v>3.9705882352941174E-2</c:v>
                </c:pt>
                <c:pt idx="79" formatCode="0.00">
                  <c:v>2.7551020408163263E-2</c:v>
                </c:pt>
                <c:pt idx="80" formatCode="0.00">
                  <c:v>2.2826086956521739E-2</c:v>
                </c:pt>
                <c:pt idx="81" formatCode="0.00">
                  <c:v>5.2608695652173923E-2</c:v>
                </c:pt>
                <c:pt idx="82" formatCode="0.00">
                  <c:v>5.2608695652173923E-2</c:v>
                </c:pt>
                <c:pt idx="83" formatCode="0.00">
                  <c:v>2.8412698412698414E-2</c:v>
                </c:pt>
                <c:pt idx="84" formatCode="0.00">
                  <c:v>7.170731707317074E-2</c:v>
                </c:pt>
                <c:pt idx="85" formatCode="0.00">
                  <c:v>7.8269230769230758E-2</c:v>
                </c:pt>
                <c:pt idx="86" formatCode="0.00">
                  <c:v>2.5238095238095243E-2</c:v>
                </c:pt>
                <c:pt idx="87" formatCode="0.00">
                  <c:v>2.3809523809523808E-2</c:v>
                </c:pt>
                <c:pt idx="88" formatCode="0.00">
                  <c:v>5.6279069767441861E-2</c:v>
                </c:pt>
                <c:pt idx="89" formatCode="0.00">
                  <c:v>9.2068965517241391E-2</c:v>
                </c:pt>
                <c:pt idx="90" formatCode="0.00">
                  <c:v>0.10454545454545454</c:v>
                </c:pt>
                <c:pt idx="91" formatCode="0.00">
                  <c:v>0.105</c:v>
                </c:pt>
                <c:pt idx="92" formatCode="0.00">
                  <c:v>0.12749999999999997</c:v>
                </c:pt>
                <c:pt idx="93" formatCode="0.00">
                  <c:v>0.15695652173913049</c:v>
                </c:pt>
                <c:pt idx="94" formatCode="0.00">
                  <c:v>0.154</c:v>
                </c:pt>
                <c:pt idx="95" formatCode="0.00">
                  <c:v>0.12588235294117647</c:v>
                </c:pt>
                <c:pt idx="96" formatCode="0.00">
                  <c:v>0.14399999999999996</c:v>
                </c:pt>
                <c:pt idx="97" formatCode="0.00">
                  <c:v>0.16304347826086948</c:v>
                </c:pt>
                <c:pt idx="98" formatCode="0.00">
                  <c:v>0.14846153846153845</c:v>
                </c:pt>
                <c:pt idx="99" formatCode="0.00">
                  <c:v>0.11947368421052629</c:v>
                </c:pt>
                <c:pt idx="100" formatCode="0.00">
                  <c:v>0.2</c:v>
                </c:pt>
                <c:pt idx="101" formatCode="0.00">
                  <c:v>6.4814814814814811E-2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5A-4C20-90C1-A9EFE52DC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408236"/>
        <c:axId val="1294820600"/>
      </c:lineChart>
      <c:catAx>
        <c:axId val="14354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94820600"/>
        <c:crosses val="autoZero"/>
        <c:auto val="1"/>
        <c:lblAlgn val="ctr"/>
        <c:lblOffset val="100"/>
        <c:noMultiLvlLbl val="1"/>
      </c:catAx>
      <c:valAx>
        <c:axId val="1294820600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Concentration,</a:t>
                </a:r>
                <a:r>
                  <a:rPr lang="en-GB" baseline="0"/>
                  <a:t> vol%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35408236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Recovery Run 5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'All Run w Tables'!$M$5:$M$106</c:f>
              <c:numCache>
                <c:formatCode>0.00</c:formatCode>
                <c:ptCount val="102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  <c:pt idx="30">
                  <c:v>4.0999974880268466</c:v>
                </c:pt>
                <c:pt idx="31">
                  <c:v>7.0099140010570089</c:v>
                </c:pt>
                <c:pt idx="32">
                  <c:v>6.1899362569673242</c:v>
                </c:pt>
                <c:pt idx="33">
                  <c:v>3.7190812710161372</c:v>
                </c:pt>
                <c:pt idx="34">
                  <c:v>5.0295289088561441</c:v>
                </c:pt>
                <c:pt idx="35">
                  <c:v>8.7699948832178318</c:v>
                </c:pt>
                <c:pt idx="36">
                  <c:v>9.4699956269853107</c:v>
                </c:pt>
                <c:pt idx="37">
                  <c:v>9.0799943571033328</c:v>
                </c:pt>
                <c:pt idx="38">
                  <c:v>9.869995536489899</c:v>
                </c:pt>
                <c:pt idx="39">
                  <c:v>5.7799986123239728</c:v>
                </c:pt>
                <c:pt idx="40">
                  <c:v>0.89999872180055562</c:v>
                </c:pt>
                <c:pt idx="41">
                  <c:v>8.3579989264455783</c:v>
                </c:pt>
                <c:pt idx="42">
                  <c:v>2.0965808961670818</c:v>
                </c:pt>
                <c:pt idx="43">
                  <c:v>0.25662437479603645</c:v>
                </c:pt>
                <c:pt idx="44">
                  <c:v>1.3215404066666663</c:v>
                </c:pt>
                <c:pt idx="45">
                  <c:v>1.959250148080808</c:v>
                </c:pt>
                <c:pt idx="46">
                  <c:v>3.63889952248062</c:v>
                </c:pt>
                <c:pt idx="47">
                  <c:v>5.9583040208333333</c:v>
                </c:pt>
                <c:pt idx="48">
                  <c:v>4.5459168909090906</c:v>
                </c:pt>
                <c:pt idx="49">
                  <c:v>5.0079252936170207</c:v>
                </c:pt>
                <c:pt idx="50">
                  <c:v>5.7108919999999994</c:v>
                </c:pt>
                <c:pt idx="51">
                  <c:v>5.1778863438596492</c:v>
                </c:pt>
                <c:pt idx="52">
                  <c:v>5.4230470037735854</c:v>
                </c:pt>
                <c:pt idx="53">
                  <c:v>5.3701496655737708</c:v>
                </c:pt>
                <c:pt idx="54">
                  <c:v>5.1449434074074079</c:v>
                </c:pt>
                <c:pt idx="55">
                  <c:v>5.4002322000000005</c:v>
                </c:pt>
                <c:pt idx="56">
                  <c:v>3.6071058349206351</c:v>
                </c:pt>
                <c:pt idx="57">
                  <c:v>4.9571132352941172</c:v>
                </c:pt>
                <c:pt idx="58">
                  <c:v>1.39</c:v>
                </c:pt>
                <c:pt idx="59">
                  <c:v>4.3354109278911563</c:v>
                </c:pt>
                <c:pt idx="60">
                  <c:v>3.4674861551041669</c:v>
                </c:pt>
                <c:pt idx="61">
                  <c:v>2.7478559999999996</c:v>
                </c:pt>
                <c:pt idx="62">
                  <c:v>2.3161451172413794</c:v>
                </c:pt>
                <c:pt idx="63">
                  <c:v>0.84172000000000002</c:v>
                </c:pt>
                <c:pt idx="64">
                  <c:v>1.0291562666666667</c:v>
                </c:pt>
                <c:pt idx="65">
                  <c:v>1.0374062222222222</c:v>
                </c:pt>
                <c:pt idx="66">
                  <c:v>1.6621696701754385</c:v>
                </c:pt>
                <c:pt idx="67">
                  <c:v>1.5846844444444446</c:v>
                </c:pt>
                <c:pt idx="68">
                  <c:v>3.6433921403508771</c:v>
                </c:pt>
                <c:pt idx="69">
                  <c:v>1.313167111111111</c:v>
                </c:pt>
                <c:pt idx="70">
                  <c:v>0.90617688888888892</c:v>
                </c:pt>
                <c:pt idx="71">
                  <c:v>9.1750708072727267</c:v>
                </c:pt>
                <c:pt idx="72">
                  <c:v>3.0425939999999998</c:v>
                </c:pt>
                <c:pt idx="73">
                  <c:v>3.1914178153846158</c:v>
                </c:pt>
                <c:pt idx="74">
                  <c:v>5.8897144000000008</c:v>
                </c:pt>
                <c:pt idx="75">
                  <c:v>5.3643683025641025</c:v>
                </c:pt>
                <c:pt idx="76">
                  <c:v>5.3728091047619051</c:v>
                </c:pt>
                <c:pt idx="77">
                  <c:v>5.3445889966101694</c:v>
                </c:pt>
                <c:pt idx="78">
                  <c:v>6.0501614117647051</c:v>
                </c:pt>
                <c:pt idx="79">
                  <c:v>3.412759224489796</c:v>
                </c:pt>
                <c:pt idx="80">
                  <c:v>3.7154920000000002</c:v>
                </c:pt>
                <c:pt idx="81">
                  <c:v>5.1661091999999993</c:v>
                </c:pt>
                <c:pt idx="82">
                  <c:v>5.3461091999999999</c:v>
                </c:pt>
                <c:pt idx="83">
                  <c:v>4.8328900063492064</c:v>
                </c:pt>
                <c:pt idx="84">
                  <c:v>3.6769158048780488</c:v>
                </c:pt>
                <c:pt idx="85">
                  <c:v>3.5820460820512823</c:v>
                </c:pt>
                <c:pt idx="86">
                  <c:v>2.445100780952381</c:v>
                </c:pt>
                <c:pt idx="87">
                  <c:v>5.8051809523809519</c:v>
                </c:pt>
                <c:pt idx="88">
                  <c:v>2.0009563286821703</c:v>
                </c:pt>
                <c:pt idx="89">
                  <c:v>2.899948524137931</c:v>
                </c:pt>
                <c:pt idx="90">
                  <c:v>1.7190993939393939</c:v>
                </c:pt>
                <c:pt idx="91">
                  <c:v>2.5678284000000002</c:v>
                </c:pt>
                <c:pt idx="92">
                  <c:v>1.5459240000000001</c:v>
                </c:pt>
                <c:pt idx="93">
                  <c:v>2.4000727999999998</c:v>
                </c:pt>
                <c:pt idx="94">
                  <c:v>2.0529983999999999</c:v>
                </c:pt>
                <c:pt idx="95">
                  <c:v>1.8294997333333334</c:v>
                </c:pt>
                <c:pt idx="96">
                  <c:v>1.4780768</c:v>
                </c:pt>
                <c:pt idx="97">
                  <c:v>2.0015999999999998</c:v>
                </c:pt>
                <c:pt idx="98">
                  <c:v>0.71934639999999994</c:v>
                </c:pt>
                <c:pt idx="99">
                  <c:v>1.3888618666666666</c:v>
                </c:pt>
                <c:pt idx="100">
                  <c:v>0.8362613333333333</c:v>
                </c:pt>
                <c:pt idx="101">
                  <c:v>0.92499111111111121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7-4D95-81D3-1D510A355E7F}"/>
            </c:ext>
          </c:extLst>
        </c:ser>
        <c:ser>
          <c:idx val="1"/>
          <c:order val="1"/>
          <c:tx>
            <c:v>CO2 Recovery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'All Run w Tables'!$S$5:$S$106</c:f>
              <c:numCache>
                <c:formatCode>0.00</c:formatCode>
                <c:ptCount val="102"/>
                <c:pt idx="0">
                  <c:v>0.20161057866666754</c:v>
                </c:pt>
                <c:pt idx="1">
                  <c:v>0.20161057866666754</c:v>
                </c:pt>
                <c:pt idx="2">
                  <c:v>0.48330359999999845</c:v>
                </c:pt>
                <c:pt idx="3" formatCode="General">
                  <c:v>0.46</c:v>
                </c:pt>
                <c:pt idx="4" formatCode="General">
                  <c:v>0</c:v>
                </c:pt>
                <c:pt idx="5" formatCode="General">
                  <c:v>1.36</c:v>
                </c:pt>
                <c:pt idx="6" formatCode="General">
                  <c:v>1.35</c:v>
                </c:pt>
                <c:pt idx="7" formatCode="General">
                  <c:v>1.34</c:v>
                </c:pt>
                <c:pt idx="8" formatCode="General">
                  <c:v>0.67</c:v>
                </c:pt>
                <c:pt idx="9" formatCode="General">
                  <c:v>0.36</c:v>
                </c:pt>
                <c:pt idx="10" formatCode="General">
                  <c:v>0.62</c:v>
                </c:pt>
                <c:pt idx="11" formatCode="General">
                  <c:v>0.72</c:v>
                </c:pt>
                <c:pt idx="12" formatCode="General">
                  <c:v>0.66</c:v>
                </c:pt>
                <c:pt idx="13" formatCode="General">
                  <c:v>0.64</c:v>
                </c:pt>
                <c:pt idx="14" formatCode="General">
                  <c:v>0.67</c:v>
                </c:pt>
                <c:pt idx="15" formatCode="General">
                  <c:v>0.46</c:v>
                </c:pt>
                <c:pt idx="16" formatCode="General">
                  <c:v>0.37</c:v>
                </c:pt>
                <c:pt idx="17" formatCode="General">
                  <c:v>0.59</c:v>
                </c:pt>
                <c:pt idx="18" formatCode="General">
                  <c:v>0.63</c:v>
                </c:pt>
                <c:pt idx="19" formatCode="General">
                  <c:v>0.44</c:v>
                </c:pt>
                <c:pt idx="20" formatCode="General">
                  <c:v>0.45</c:v>
                </c:pt>
                <c:pt idx="21" formatCode="General">
                  <c:v>0.54</c:v>
                </c:pt>
                <c:pt idx="22" formatCode="General">
                  <c:v>0.56000000000000005</c:v>
                </c:pt>
                <c:pt idx="23" formatCode="General">
                  <c:v>0.25</c:v>
                </c:pt>
                <c:pt idx="24" formatCode="General">
                  <c:v>0.22</c:v>
                </c:pt>
                <c:pt idx="25" formatCode="General">
                  <c:v>0.23</c:v>
                </c:pt>
                <c:pt idx="26" formatCode="General">
                  <c:v>0.2</c:v>
                </c:pt>
                <c:pt idx="27" formatCode="General">
                  <c:v>0.27</c:v>
                </c:pt>
                <c:pt idx="28" formatCode="General">
                  <c:v>0.2</c:v>
                </c:pt>
                <c:pt idx="29" formatCode="General">
                  <c:v>0.2</c:v>
                </c:pt>
                <c:pt idx="30" formatCode="General">
                  <c:v>0.23</c:v>
                </c:pt>
                <c:pt idx="31" formatCode="General">
                  <c:v>0.14000000000000001</c:v>
                </c:pt>
                <c:pt idx="32" formatCode="General">
                  <c:v>0.18</c:v>
                </c:pt>
                <c:pt idx="33" formatCode="General">
                  <c:v>0.18</c:v>
                </c:pt>
                <c:pt idx="34" formatCode="General">
                  <c:v>0.12</c:v>
                </c:pt>
                <c:pt idx="35" formatCode="General">
                  <c:v>0.22</c:v>
                </c:pt>
                <c:pt idx="36" formatCode="General">
                  <c:v>0.36</c:v>
                </c:pt>
                <c:pt idx="37" formatCode="General">
                  <c:v>0.51</c:v>
                </c:pt>
                <c:pt idx="38" formatCode="General">
                  <c:v>0</c:v>
                </c:pt>
                <c:pt idx="39" formatCode="General">
                  <c:v>0.37</c:v>
                </c:pt>
                <c:pt idx="40" formatCode="General">
                  <c:v>0.42</c:v>
                </c:pt>
                <c:pt idx="41" formatCode="General">
                  <c:v>0.28999999999999998</c:v>
                </c:pt>
                <c:pt idx="42" formatCode="General">
                  <c:v>0.08</c:v>
                </c:pt>
                <c:pt idx="43" formatCode="General">
                  <c:v>0.14000000000000001</c:v>
                </c:pt>
                <c:pt idx="44" formatCode="General">
                  <c:v>0.99</c:v>
                </c:pt>
                <c:pt idx="45" formatCode="General">
                  <c:v>1.01</c:v>
                </c:pt>
                <c:pt idx="46" formatCode="General">
                  <c:v>0.68</c:v>
                </c:pt>
                <c:pt idx="47" formatCode="General">
                  <c:v>0.72</c:v>
                </c:pt>
                <c:pt idx="48" formatCode="General">
                  <c:v>0.73</c:v>
                </c:pt>
                <c:pt idx="49" formatCode="General">
                  <c:v>0.6</c:v>
                </c:pt>
                <c:pt idx="50" formatCode="General">
                  <c:v>0.78</c:v>
                </c:pt>
                <c:pt idx="51" formatCode="General">
                  <c:v>0.77</c:v>
                </c:pt>
                <c:pt idx="52" formatCode="General">
                  <c:v>0.7</c:v>
                </c:pt>
                <c:pt idx="53" formatCode="General">
                  <c:v>0.81</c:v>
                </c:pt>
                <c:pt idx="54" formatCode="General">
                  <c:v>0.97</c:v>
                </c:pt>
                <c:pt idx="55" formatCode="General">
                  <c:v>0.78</c:v>
                </c:pt>
                <c:pt idx="56" formatCode="General">
                  <c:v>0.66</c:v>
                </c:pt>
                <c:pt idx="57" formatCode="General">
                  <c:v>0.87</c:v>
                </c:pt>
                <c:pt idx="58" formatCode="General">
                  <c:v>0.57999999999999996</c:v>
                </c:pt>
                <c:pt idx="59" formatCode="General">
                  <c:v>0.63</c:v>
                </c:pt>
                <c:pt idx="60" formatCode="General">
                  <c:v>0.31</c:v>
                </c:pt>
                <c:pt idx="61" formatCode="General">
                  <c:v>0.44</c:v>
                </c:pt>
                <c:pt idx="62" formatCode="General">
                  <c:v>0.7</c:v>
                </c:pt>
                <c:pt idx="63" formatCode="General">
                  <c:v>0.83</c:v>
                </c:pt>
                <c:pt idx="64" formatCode="General">
                  <c:v>0.46</c:v>
                </c:pt>
                <c:pt idx="65" formatCode="General">
                  <c:v>0.75</c:v>
                </c:pt>
                <c:pt idx="66" formatCode="General">
                  <c:v>0.44</c:v>
                </c:pt>
                <c:pt idx="67" formatCode="General">
                  <c:v>0.9</c:v>
                </c:pt>
                <c:pt idx="68" formatCode="General">
                  <c:v>0.51</c:v>
                </c:pt>
                <c:pt idx="69" formatCode="General">
                  <c:v>0.65</c:v>
                </c:pt>
                <c:pt idx="70" formatCode="General">
                  <c:v>0</c:v>
                </c:pt>
                <c:pt idx="71" formatCode="General">
                  <c:v>1.46</c:v>
                </c:pt>
                <c:pt idx="72" formatCode="General">
                  <c:v>0</c:v>
                </c:pt>
                <c:pt idx="73" formatCode="General">
                  <c:v>1.24</c:v>
                </c:pt>
                <c:pt idx="74" formatCode="General">
                  <c:v>1.48</c:v>
                </c:pt>
                <c:pt idx="75" formatCode="General">
                  <c:v>1.21</c:v>
                </c:pt>
                <c:pt idx="76" formatCode="General">
                  <c:v>1.33</c:v>
                </c:pt>
                <c:pt idx="77" formatCode="General">
                  <c:v>2.2999999999999998</c:v>
                </c:pt>
                <c:pt idx="78" formatCode="General">
                  <c:v>1.18</c:v>
                </c:pt>
                <c:pt idx="79" formatCode="General">
                  <c:v>0.95</c:v>
                </c:pt>
                <c:pt idx="80" formatCode="General">
                  <c:v>0.46</c:v>
                </c:pt>
                <c:pt idx="81" formatCode="General">
                  <c:v>1.05</c:v>
                </c:pt>
                <c:pt idx="82" formatCode="General">
                  <c:v>1.8</c:v>
                </c:pt>
                <c:pt idx="83" formatCode="General">
                  <c:v>0.56000000000000005</c:v>
                </c:pt>
                <c:pt idx="84" formatCode="General">
                  <c:v>1.1000000000000001</c:v>
                </c:pt>
                <c:pt idx="85" formatCode="General">
                  <c:v>0.35</c:v>
                </c:pt>
                <c:pt idx="86" formatCode="General">
                  <c:v>0.6</c:v>
                </c:pt>
                <c:pt idx="87" formatCode="General">
                  <c:v>1.32</c:v>
                </c:pt>
                <c:pt idx="88" formatCode="General">
                  <c:v>0.6</c:v>
                </c:pt>
                <c:pt idx="89" formatCode="General">
                  <c:v>0.7</c:v>
                </c:pt>
                <c:pt idx="90" formatCode="General">
                  <c:v>2.5</c:v>
                </c:pt>
                <c:pt idx="91" formatCode="General">
                  <c:v>0.5</c:v>
                </c:pt>
                <c:pt idx="92" formatCode="General">
                  <c:v>0.04</c:v>
                </c:pt>
                <c:pt idx="93" formatCode="General">
                  <c:v>0.83</c:v>
                </c:pt>
                <c:pt idx="94" formatCode="General">
                  <c:v>0.85</c:v>
                </c:pt>
                <c:pt idx="95" formatCode="General">
                  <c:v>2.81</c:v>
                </c:pt>
                <c:pt idx="96" formatCode="General">
                  <c:v>2</c:v>
                </c:pt>
                <c:pt idx="97" formatCode="General">
                  <c:v>3.98</c:v>
                </c:pt>
                <c:pt idx="98" formatCode="General">
                  <c:v>0.15</c:v>
                </c:pt>
                <c:pt idx="99" formatCode="General">
                  <c:v>0.13</c:v>
                </c:pt>
                <c:pt idx="100" formatCode="General">
                  <c:v>0.19</c:v>
                </c:pt>
                <c:pt idx="101" formatCode="General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7-4D95-81D3-1D510A355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3311"/>
        <c:axId val="186132515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 Captured &amp; Recovery,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spc="0" baseline="-25000">
                <a:solidFill>
                  <a:sysClr val="windowText" lastClr="000000"/>
                </a:solidFill>
              </a:rPr>
              <a:t>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Concentration flue gas in Run 5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'All Run w Tables'!$M$5:$M$106</c:f>
              <c:numCache>
                <c:formatCode>0.00</c:formatCode>
                <c:ptCount val="102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  <c:pt idx="30">
                  <c:v>4.0999974880268466</c:v>
                </c:pt>
                <c:pt idx="31">
                  <c:v>7.0099140010570089</c:v>
                </c:pt>
                <c:pt idx="32">
                  <c:v>6.1899362569673242</c:v>
                </c:pt>
                <c:pt idx="33">
                  <c:v>3.7190812710161372</c:v>
                </c:pt>
                <c:pt idx="34">
                  <c:v>5.0295289088561441</c:v>
                </c:pt>
                <c:pt idx="35">
                  <c:v>8.7699948832178318</c:v>
                </c:pt>
                <c:pt idx="36">
                  <c:v>9.4699956269853107</c:v>
                </c:pt>
                <c:pt idx="37">
                  <c:v>9.0799943571033328</c:v>
                </c:pt>
                <c:pt idx="38">
                  <c:v>9.869995536489899</c:v>
                </c:pt>
                <c:pt idx="39">
                  <c:v>5.7799986123239728</c:v>
                </c:pt>
                <c:pt idx="40">
                  <c:v>0.89999872180055562</c:v>
                </c:pt>
                <c:pt idx="41">
                  <c:v>8.3579989264455783</c:v>
                </c:pt>
                <c:pt idx="42">
                  <c:v>2.0965808961670818</c:v>
                </c:pt>
                <c:pt idx="43">
                  <c:v>0.25662437479603645</c:v>
                </c:pt>
                <c:pt idx="44">
                  <c:v>1.3215404066666663</c:v>
                </c:pt>
                <c:pt idx="45">
                  <c:v>1.959250148080808</c:v>
                </c:pt>
                <c:pt idx="46">
                  <c:v>3.63889952248062</c:v>
                </c:pt>
                <c:pt idx="47">
                  <c:v>5.9583040208333333</c:v>
                </c:pt>
                <c:pt idx="48">
                  <c:v>4.5459168909090906</c:v>
                </c:pt>
                <c:pt idx="49">
                  <c:v>5.0079252936170207</c:v>
                </c:pt>
                <c:pt idx="50">
                  <c:v>5.7108919999999994</c:v>
                </c:pt>
                <c:pt idx="51">
                  <c:v>5.1778863438596492</c:v>
                </c:pt>
                <c:pt idx="52">
                  <c:v>5.4230470037735854</c:v>
                </c:pt>
                <c:pt idx="53">
                  <c:v>5.3701496655737708</c:v>
                </c:pt>
                <c:pt idx="54">
                  <c:v>5.1449434074074079</c:v>
                </c:pt>
                <c:pt idx="55">
                  <c:v>5.4002322000000005</c:v>
                </c:pt>
                <c:pt idx="56">
                  <c:v>3.6071058349206351</c:v>
                </c:pt>
                <c:pt idx="57">
                  <c:v>4.9571132352941172</c:v>
                </c:pt>
                <c:pt idx="58">
                  <c:v>1.39</c:v>
                </c:pt>
                <c:pt idx="59">
                  <c:v>4.3354109278911563</c:v>
                </c:pt>
                <c:pt idx="60">
                  <c:v>3.4674861551041669</c:v>
                </c:pt>
                <c:pt idx="61">
                  <c:v>2.7478559999999996</c:v>
                </c:pt>
                <c:pt idx="62">
                  <c:v>2.3161451172413794</c:v>
                </c:pt>
                <c:pt idx="63">
                  <c:v>0.84172000000000002</c:v>
                </c:pt>
                <c:pt idx="64">
                  <c:v>1.0291562666666667</c:v>
                </c:pt>
                <c:pt idx="65">
                  <c:v>1.0374062222222222</c:v>
                </c:pt>
                <c:pt idx="66">
                  <c:v>1.6621696701754385</c:v>
                </c:pt>
                <c:pt idx="67">
                  <c:v>1.5846844444444446</c:v>
                </c:pt>
                <c:pt idx="68">
                  <c:v>3.6433921403508771</c:v>
                </c:pt>
                <c:pt idx="69">
                  <c:v>1.313167111111111</c:v>
                </c:pt>
                <c:pt idx="70">
                  <c:v>0.90617688888888892</c:v>
                </c:pt>
                <c:pt idx="71">
                  <c:v>9.1750708072727267</c:v>
                </c:pt>
                <c:pt idx="72">
                  <c:v>3.0425939999999998</c:v>
                </c:pt>
                <c:pt idx="73">
                  <c:v>3.1914178153846158</c:v>
                </c:pt>
                <c:pt idx="74">
                  <c:v>5.8897144000000008</c:v>
                </c:pt>
                <c:pt idx="75">
                  <c:v>5.3643683025641025</c:v>
                </c:pt>
                <c:pt idx="76">
                  <c:v>5.3728091047619051</c:v>
                </c:pt>
                <c:pt idx="77">
                  <c:v>5.3445889966101694</c:v>
                </c:pt>
                <c:pt idx="78">
                  <c:v>6.0501614117647051</c:v>
                </c:pt>
                <c:pt idx="79">
                  <c:v>3.412759224489796</c:v>
                </c:pt>
                <c:pt idx="80">
                  <c:v>3.7154920000000002</c:v>
                </c:pt>
                <c:pt idx="81">
                  <c:v>5.1661091999999993</c:v>
                </c:pt>
                <c:pt idx="82">
                  <c:v>5.3461091999999999</c:v>
                </c:pt>
                <c:pt idx="83">
                  <c:v>4.8328900063492064</c:v>
                </c:pt>
                <c:pt idx="84">
                  <c:v>3.6769158048780488</c:v>
                </c:pt>
                <c:pt idx="85">
                  <c:v>3.5820460820512823</c:v>
                </c:pt>
                <c:pt idx="86">
                  <c:v>2.445100780952381</c:v>
                </c:pt>
                <c:pt idx="87">
                  <c:v>5.8051809523809519</c:v>
                </c:pt>
                <c:pt idx="88">
                  <c:v>2.0009563286821703</c:v>
                </c:pt>
                <c:pt idx="89">
                  <c:v>2.899948524137931</c:v>
                </c:pt>
                <c:pt idx="90">
                  <c:v>1.7190993939393939</c:v>
                </c:pt>
                <c:pt idx="91">
                  <c:v>2.5678284000000002</c:v>
                </c:pt>
                <c:pt idx="92">
                  <c:v>1.5459240000000001</c:v>
                </c:pt>
                <c:pt idx="93">
                  <c:v>2.4000727999999998</c:v>
                </c:pt>
                <c:pt idx="94">
                  <c:v>2.0529983999999999</c:v>
                </c:pt>
                <c:pt idx="95">
                  <c:v>1.8294997333333334</c:v>
                </c:pt>
                <c:pt idx="96">
                  <c:v>1.4780768</c:v>
                </c:pt>
                <c:pt idx="97">
                  <c:v>2.0015999999999998</c:v>
                </c:pt>
                <c:pt idx="98">
                  <c:v>0.71934639999999994</c:v>
                </c:pt>
                <c:pt idx="99">
                  <c:v>1.3888618666666666</c:v>
                </c:pt>
                <c:pt idx="100">
                  <c:v>0.8362613333333333</c:v>
                </c:pt>
                <c:pt idx="101">
                  <c:v>0.92499111111111121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1-415E-8F33-7D2194B4D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33311"/>
        <c:axId val="1861325151"/>
      </c:lineChart>
      <c:lineChart>
        <c:grouping val="standard"/>
        <c:varyColors val="0"/>
        <c:ser>
          <c:idx val="1"/>
          <c:order val="1"/>
          <c:tx>
            <c:v>Conc flue gas in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'All Run w Tables'!$F$5:$F$106</c:f>
              <c:numCache>
                <c:formatCode>General</c:formatCode>
                <c:ptCount val="102"/>
                <c:pt idx="0">
                  <c:v>14.9</c:v>
                </c:pt>
                <c:pt idx="1">
                  <c:v>14.9</c:v>
                </c:pt>
                <c:pt idx="2">
                  <c:v>14.9</c:v>
                </c:pt>
                <c:pt idx="3">
                  <c:v>14.9</c:v>
                </c:pt>
                <c:pt idx="4">
                  <c:v>14.9</c:v>
                </c:pt>
                <c:pt idx="5">
                  <c:v>14.9</c:v>
                </c:pt>
                <c:pt idx="6">
                  <c:v>14.9</c:v>
                </c:pt>
                <c:pt idx="7">
                  <c:v>14.9</c:v>
                </c:pt>
                <c:pt idx="8">
                  <c:v>14.9</c:v>
                </c:pt>
                <c:pt idx="9">
                  <c:v>14.9</c:v>
                </c:pt>
                <c:pt idx="10">
                  <c:v>14.9</c:v>
                </c:pt>
                <c:pt idx="11">
                  <c:v>14.9</c:v>
                </c:pt>
                <c:pt idx="12">
                  <c:v>14.9</c:v>
                </c:pt>
                <c:pt idx="13">
                  <c:v>14.9</c:v>
                </c:pt>
                <c:pt idx="14">
                  <c:v>14.9</c:v>
                </c:pt>
                <c:pt idx="15">
                  <c:v>14.9</c:v>
                </c:pt>
                <c:pt idx="16">
                  <c:v>14.9</c:v>
                </c:pt>
                <c:pt idx="17">
                  <c:v>14.9</c:v>
                </c:pt>
                <c:pt idx="18">
                  <c:v>14.9</c:v>
                </c:pt>
                <c:pt idx="19">
                  <c:v>14.9</c:v>
                </c:pt>
                <c:pt idx="20">
                  <c:v>14.9</c:v>
                </c:pt>
                <c:pt idx="21">
                  <c:v>14.9</c:v>
                </c:pt>
                <c:pt idx="22">
                  <c:v>14.9</c:v>
                </c:pt>
                <c:pt idx="23">
                  <c:v>14.9</c:v>
                </c:pt>
                <c:pt idx="24">
                  <c:v>14.9</c:v>
                </c:pt>
                <c:pt idx="25">
                  <c:v>14.9</c:v>
                </c:pt>
                <c:pt idx="26">
                  <c:v>14.9</c:v>
                </c:pt>
                <c:pt idx="27">
                  <c:v>14.9</c:v>
                </c:pt>
                <c:pt idx="28">
                  <c:v>14.9</c:v>
                </c:pt>
                <c:pt idx="29">
                  <c:v>14.9</c:v>
                </c:pt>
                <c:pt idx="30">
                  <c:v>14.900000000000006</c:v>
                </c:pt>
                <c:pt idx="31" formatCode="0.0">
                  <c:v>14.899999999999842</c:v>
                </c:pt>
                <c:pt idx="32">
                  <c:v>14.899999999999874</c:v>
                </c:pt>
                <c:pt idx="33">
                  <c:v>14.900000000000036</c:v>
                </c:pt>
                <c:pt idx="34">
                  <c:v>14.899999999999944</c:v>
                </c:pt>
                <c:pt idx="35">
                  <c:v>14.899999999999807</c:v>
                </c:pt>
                <c:pt idx="36">
                  <c:v>14.899999999999803</c:v>
                </c:pt>
                <c:pt idx="37">
                  <c:v>14.899999999999778</c:v>
                </c:pt>
                <c:pt idx="38">
                  <c:v>14.8999999999998</c:v>
                </c:pt>
                <c:pt idx="39" formatCode="0.00">
                  <c:v>10.977912087912072</c:v>
                </c:pt>
                <c:pt idx="40" formatCode="0.00">
                  <c:v>2.6081000000000087</c:v>
                </c:pt>
                <c:pt idx="41" formatCode="0.00">
                  <c:v>12.873928571428475</c:v>
                </c:pt>
                <c:pt idx="42" formatCode="0.00">
                  <c:v>5.5124528301886784</c:v>
                </c:pt>
                <c:pt idx="43" formatCode="0.00">
                  <c:v>1.1093617021276665</c:v>
                </c:pt>
                <c:pt idx="44" formatCode="0.00">
                  <c:v>5.0225531914893482</c:v>
                </c:pt>
                <c:pt idx="45" formatCode="0.00">
                  <c:v>6.5029924242424659</c:v>
                </c:pt>
                <c:pt idx="46" formatCode="0.00">
                  <c:v>12.370697674418622</c:v>
                </c:pt>
                <c:pt idx="47" formatCode="0.00">
                  <c:v>11.61625000000002</c:v>
                </c:pt>
                <c:pt idx="48" formatCode="0.00">
                  <c:v>11.990454545454499</c:v>
                </c:pt>
                <c:pt idx="49" formatCode="0.00">
                  <c:v>12.268936170212752</c:v>
                </c:pt>
                <c:pt idx="50" formatCode="0.00">
                  <c:v>12.6916666666667</c:v>
                </c:pt>
                <c:pt idx="51" formatCode="0.00">
                  <c:v>12.409473684210559</c:v>
                </c:pt>
                <c:pt idx="52" formatCode="0.00">
                  <c:v>12.34641509433961</c:v>
                </c:pt>
                <c:pt idx="53" formatCode="0.00">
                  <c:v>11.49393442622946</c:v>
                </c:pt>
                <c:pt idx="54" formatCode="0.00">
                  <c:v>12.741111111111087</c:v>
                </c:pt>
                <c:pt idx="55" formatCode="0.00">
                  <c:v>19.550000000000086</c:v>
                </c:pt>
                <c:pt idx="56" formatCode="0.00">
                  <c:v>11.687619047618997</c:v>
                </c:pt>
                <c:pt idx="57" formatCode="0.00">
                  <c:v>12.154803921568615</c:v>
                </c:pt>
                <c:pt idx="58" formatCode="0.00">
                  <c:v>11.806666666666679</c:v>
                </c:pt>
                <c:pt idx="59" formatCode="0.00">
                  <c:v>12.534285714285719</c:v>
                </c:pt>
                <c:pt idx="60" formatCode="0.00">
                  <c:v>13.075937500000004</c:v>
                </c:pt>
                <c:pt idx="61" formatCode="0.00">
                  <c:v>13.086666666666673</c:v>
                </c:pt>
                <c:pt idx="62" formatCode="0.00">
                  <c:v>12.893793103448248</c:v>
                </c:pt>
                <c:pt idx="63" formatCode="0.00">
                  <c:v>9.9641176470588224</c:v>
                </c:pt>
                <c:pt idx="64" formatCode="0.00">
                  <c:v>12.476470588235308</c:v>
                </c:pt>
                <c:pt idx="65" formatCode="0.00">
                  <c:v>12.307499999999983</c:v>
                </c:pt>
                <c:pt idx="66" formatCode="0.00">
                  <c:v>10.265263157894722</c:v>
                </c:pt>
                <c:pt idx="67" formatCode="0.00">
                  <c:v>10.156666666666659</c:v>
                </c:pt>
                <c:pt idx="68" formatCode="0.00">
                  <c:v>11.80710526315786</c:v>
                </c:pt>
                <c:pt idx="69" formatCode="0.00">
                  <c:v>12.885238095238131</c:v>
                </c:pt>
                <c:pt idx="70" formatCode="0.00">
                  <c:v>12.929999999999991</c:v>
                </c:pt>
                <c:pt idx="71" formatCode="0.00">
                  <c:v>13</c:v>
                </c:pt>
                <c:pt idx="72" formatCode="0.00">
                  <c:v>12.507884615384622</c:v>
                </c:pt>
                <c:pt idx="73" formatCode="0.00">
                  <c:v>13.014807692307738</c:v>
                </c:pt>
                <c:pt idx="74" formatCode="0.00">
                  <c:v>12.901093750000015</c:v>
                </c:pt>
                <c:pt idx="75" formatCode="0.00">
                  <c:v>12.3900000000001</c:v>
                </c:pt>
                <c:pt idx="76" formatCode="0.00">
                  <c:v>12.488253968254048</c:v>
                </c:pt>
                <c:pt idx="77" formatCode="0.00">
                  <c:v>12.311355932203433</c:v>
                </c:pt>
                <c:pt idx="78" formatCode="0.00">
                  <c:v>12.578529411764729</c:v>
                </c:pt>
                <c:pt idx="79" formatCode="0.00">
                  <c:v>14.550000000000081</c:v>
                </c:pt>
                <c:pt idx="80" formatCode="0.00">
                  <c:v>11.72543478260865</c:v>
                </c:pt>
                <c:pt idx="81" formatCode="0.00">
                  <c:v>11.517101449275415</c:v>
                </c:pt>
                <c:pt idx="82" formatCode="0.00">
                  <c:v>11.372753623188384</c:v>
                </c:pt>
                <c:pt idx="83" formatCode="0.00">
                  <c:v>11.474920634920689</c:v>
                </c:pt>
                <c:pt idx="84" formatCode="0.00">
                  <c:v>11.772439024390208</c:v>
                </c:pt>
                <c:pt idx="85" formatCode="0.00">
                  <c:v>11.000961538461512</c:v>
                </c:pt>
                <c:pt idx="86" formatCode="0.00">
                  <c:v>10.969047619047599</c:v>
                </c:pt>
                <c:pt idx="87" formatCode="0.00">
                  <c:v>19.261904761904766</c:v>
                </c:pt>
                <c:pt idx="88" formatCode="0.00">
                  <c:v>11.988837209302313</c:v>
                </c:pt>
                <c:pt idx="89" formatCode="0.00">
                  <c:v>13.65172413793103</c:v>
                </c:pt>
                <c:pt idx="90" formatCode="0.00">
                  <c:v>14.334999999999948</c:v>
                </c:pt>
                <c:pt idx="91" formatCode="0.00">
                  <c:v>14.148076923076914</c:v>
                </c:pt>
                <c:pt idx="92" formatCode="0.00">
                  <c:v>13.433749999999996</c:v>
                </c:pt>
                <c:pt idx="93" formatCode="0.00">
                  <c:v>14.001304347826096</c:v>
                </c:pt>
                <c:pt idx="94" formatCode="0.00">
                  <c:v>13.953000000000008</c:v>
                </c:pt>
                <c:pt idx="95" formatCode="0.00">
                  <c:v>14</c:v>
                </c:pt>
                <c:pt idx="96" formatCode="0.00">
                  <c:v>14.093333333333327</c:v>
                </c:pt>
                <c:pt idx="97" formatCode="0.00">
                  <c:v>11.583913043478271</c:v>
                </c:pt>
                <c:pt idx="98" formatCode="0.00">
                  <c:v>13.692307692307704</c:v>
                </c:pt>
                <c:pt idx="99" formatCode="0.00">
                  <c:v>13.799999999999972</c:v>
                </c:pt>
                <c:pt idx="100" formatCode="0.00">
                  <c:v>13.878571428571409</c:v>
                </c:pt>
                <c:pt idx="101">
                  <c:v>12.099999999999993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1-415E-8F33-7D2194B4D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47711"/>
        <c:axId val="186133091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valAx>
        <c:axId val="1861330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flue gas inlet,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7711"/>
        <c:crosses val="max"/>
        <c:crossBetween val="between"/>
      </c:valAx>
      <c:catAx>
        <c:axId val="1861347711"/>
        <c:scaling>
          <c:orientation val="minMax"/>
        </c:scaling>
        <c:delete val="1"/>
        <c:axPos val="b"/>
        <c:majorTickMark val="out"/>
        <c:minorTickMark val="none"/>
        <c:tickLblPos val="nextTo"/>
        <c:crossAx val="186133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In and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vs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</a:t>
            </a:r>
            <a:r>
              <a:rPr lang="en-GB" sz="1400" b="1" i="0" u="none" strike="noStrike" kern="1200" baseline="-25000">
                <a:solidFill>
                  <a:sysClr val="windowText" lastClr="000000"/>
                </a:solidFill>
              </a:rPr>
              <a:t>2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out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lineChart>
        <c:grouping val="standard"/>
        <c:varyColors val="1"/>
        <c:ser>
          <c:idx val="0"/>
          <c:order val="0"/>
          <c:tx>
            <c:v>Co2 In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'All Run w Tables'!$H$5:$H$106</c:f>
              <c:numCache>
                <c:formatCode>0.0</c:formatCode>
                <c:ptCount val="102"/>
                <c:pt idx="0">
                  <c:v>3.96545024</c:v>
                </c:pt>
                <c:pt idx="1">
                  <c:v>9.8703083200000012</c:v>
                </c:pt>
                <c:pt idx="2">
                  <c:v>7.011916160000002</c:v>
                </c:pt>
                <c:pt idx="3">
                  <c:v>8.1140012822222225</c:v>
                </c:pt>
                <c:pt idx="4">
                  <c:v>21.454664959999995</c:v>
                </c:pt>
                <c:pt idx="5">
                  <c:v>5.4799633888888888</c:v>
                </c:pt>
                <c:pt idx="6">
                  <c:v>0</c:v>
                </c:pt>
                <c:pt idx="7">
                  <c:v>7.9049626407587814</c:v>
                </c:pt>
                <c:pt idx="8">
                  <c:v>6.7956910329582767</c:v>
                </c:pt>
                <c:pt idx="9">
                  <c:v>5.9883857876543027</c:v>
                </c:pt>
                <c:pt idx="10">
                  <c:v>5.0720709863910463</c:v>
                </c:pt>
                <c:pt idx="11">
                  <c:v>6.4575331668633149</c:v>
                </c:pt>
                <c:pt idx="12">
                  <c:v>7.5356572013651899</c:v>
                </c:pt>
                <c:pt idx="13">
                  <c:v>4.8859495686274377</c:v>
                </c:pt>
                <c:pt idx="14">
                  <c:v>3.3813066666666676</c:v>
                </c:pt>
                <c:pt idx="15">
                  <c:v>8.6205538725790039</c:v>
                </c:pt>
                <c:pt idx="16">
                  <c:v>0</c:v>
                </c:pt>
                <c:pt idx="17">
                  <c:v>6.0434608670449306</c:v>
                </c:pt>
                <c:pt idx="18">
                  <c:v>4.8577182418634024</c:v>
                </c:pt>
                <c:pt idx="19">
                  <c:v>9.8766139999999982</c:v>
                </c:pt>
                <c:pt idx="20">
                  <c:v>4.1036268800000002</c:v>
                </c:pt>
                <c:pt idx="21">
                  <c:v>3.3586884666666577</c:v>
                </c:pt>
                <c:pt idx="22">
                  <c:v>5.6345779447488633</c:v>
                </c:pt>
                <c:pt idx="23">
                  <c:v>3.0643035255144118</c:v>
                </c:pt>
                <c:pt idx="24">
                  <c:v>2.9249147235387047</c:v>
                </c:pt>
                <c:pt idx="25">
                  <c:v>3.1550574974666676</c:v>
                </c:pt>
                <c:pt idx="26">
                  <c:v>3.1508789944444437</c:v>
                </c:pt>
                <c:pt idx="27">
                  <c:v>3.1731354555555509</c:v>
                </c:pt>
                <c:pt idx="28">
                  <c:v>9.0137845020000018</c:v>
                </c:pt>
                <c:pt idx="29">
                  <c:v>3.0119948693333369</c:v>
                </c:pt>
                <c:pt idx="30" formatCode="General">
                  <c:v>4.0999999999999996</c:v>
                </c:pt>
                <c:pt idx="31" formatCode="General">
                  <c:v>7.01</c:v>
                </c:pt>
                <c:pt idx="32" formatCode="General">
                  <c:v>6.19</c:v>
                </c:pt>
                <c:pt idx="33" formatCode="General">
                  <c:v>3.72</c:v>
                </c:pt>
                <c:pt idx="34" formatCode="General">
                  <c:v>5.03</c:v>
                </c:pt>
                <c:pt idx="35" formatCode="General">
                  <c:v>8.77</c:v>
                </c:pt>
                <c:pt idx="36" formatCode="General">
                  <c:v>9.4700000000000006</c:v>
                </c:pt>
                <c:pt idx="37" formatCode="General">
                  <c:v>9.08</c:v>
                </c:pt>
                <c:pt idx="38" formatCode="General">
                  <c:v>9.8699999999999992</c:v>
                </c:pt>
                <c:pt idx="39" formatCode="General">
                  <c:v>5.78</c:v>
                </c:pt>
                <c:pt idx="40" formatCode="General">
                  <c:v>0.9</c:v>
                </c:pt>
                <c:pt idx="41" formatCode="General">
                  <c:v>8.41</c:v>
                </c:pt>
                <c:pt idx="42" formatCode="General">
                  <c:v>2.12</c:v>
                </c:pt>
                <c:pt idx="43" formatCode="General">
                  <c:v>0.28000000000000003</c:v>
                </c:pt>
                <c:pt idx="44" formatCode="General">
                  <c:v>1.4</c:v>
                </c:pt>
                <c:pt idx="45" formatCode="General">
                  <c:v>1.98</c:v>
                </c:pt>
                <c:pt idx="46" formatCode="General">
                  <c:v>3.65</c:v>
                </c:pt>
                <c:pt idx="47" formatCode="General">
                  <c:v>5.97</c:v>
                </c:pt>
                <c:pt idx="48" formatCode="General">
                  <c:v>4.5599999999999996</c:v>
                </c:pt>
                <c:pt idx="49" formatCode="General">
                  <c:v>5.0199999999999996</c:v>
                </c:pt>
                <c:pt idx="50" formatCode="General">
                  <c:v>5.72</c:v>
                </c:pt>
                <c:pt idx="51" formatCode="General">
                  <c:v>5.19</c:v>
                </c:pt>
                <c:pt idx="52" formatCode="General">
                  <c:v>5.44</c:v>
                </c:pt>
                <c:pt idx="53" formatCode="General">
                  <c:v>5.38</c:v>
                </c:pt>
                <c:pt idx="54" formatCode="General">
                  <c:v>5.15</c:v>
                </c:pt>
                <c:pt idx="55" formatCode="General">
                  <c:v>5.46</c:v>
                </c:pt>
                <c:pt idx="56" formatCode="General">
                  <c:v>3.62</c:v>
                </c:pt>
                <c:pt idx="57" formatCode="General">
                  <c:v>4.97</c:v>
                </c:pt>
                <c:pt idx="58" formatCode="General">
                  <c:v>1.39</c:v>
                </c:pt>
                <c:pt idx="59" formatCode="General">
                  <c:v>4.3499999999999996</c:v>
                </c:pt>
                <c:pt idx="60" formatCode="General">
                  <c:v>3.47</c:v>
                </c:pt>
                <c:pt idx="61" formatCode="General">
                  <c:v>2.76</c:v>
                </c:pt>
                <c:pt idx="62" formatCode="General">
                  <c:v>2.33</c:v>
                </c:pt>
                <c:pt idx="63" formatCode="General">
                  <c:v>0.85</c:v>
                </c:pt>
                <c:pt idx="64" formatCode="General">
                  <c:v>1.04</c:v>
                </c:pt>
                <c:pt idx="65" formatCode="General">
                  <c:v>1.05</c:v>
                </c:pt>
                <c:pt idx="66" formatCode="General">
                  <c:v>1.67</c:v>
                </c:pt>
                <c:pt idx="67" formatCode="General">
                  <c:v>1.59</c:v>
                </c:pt>
                <c:pt idx="68" formatCode="General">
                  <c:v>3.65</c:v>
                </c:pt>
                <c:pt idx="69" formatCode="General">
                  <c:v>1.38</c:v>
                </c:pt>
                <c:pt idx="70" formatCode="General">
                  <c:v>0.91</c:v>
                </c:pt>
                <c:pt idx="71" formatCode="General">
                  <c:v>9.18</c:v>
                </c:pt>
                <c:pt idx="72" formatCode="General">
                  <c:v>3.05</c:v>
                </c:pt>
                <c:pt idx="73" formatCode="General">
                  <c:v>3.2</c:v>
                </c:pt>
                <c:pt idx="74" formatCode="General">
                  <c:v>5.9</c:v>
                </c:pt>
                <c:pt idx="75" formatCode="General">
                  <c:v>5.37</c:v>
                </c:pt>
                <c:pt idx="76" formatCode="General">
                  <c:v>5.38</c:v>
                </c:pt>
                <c:pt idx="77" formatCode="General">
                  <c:v>5.35</c:v>
                </c:pt>
                <c:pt idx="78" formatCode="General">
                  <c:v>6.06</c:v>
                </c:pt>
                <c:pt idx="79" formatCode="General">
                  <c:v>3.42</c:v>
                </c:pt>
                <c:pt idx="80" formatCode="General">
                  <c:v>3.72</c:v>
                </c:pt>
                <c:pt idx="81" formatCode="General">
                  <c:v>5.18</c:v>
                </c:pt>
                <c:pt idx="82" formatCode="General">
                  <c:v>5.36</c:v>
                </c:pt>
                <c:pt idx="83" formatCode="General">
                  <c:v>4.84</c:v>
                </c:pt>
                <c:pt idx="84" formatCode="General">
                  <c:v>3.69</c:v>
                </c:pt>
                <c:pt idx="85" formatCode="General">
                  <c:v>3.6</c:v>
                </c:pt>
                <c:pt idx="86" formatCode="General">
                  <c:v>2.4500000000000002</c:v>
                </c:pt>
                <c:pt idx="87" formatCode="General">
                  <c:v>5.81</c:v>
                </c:pt>
                <c:pt idx="88" formatCode="General">
                  <c:v>2.0099999999999998</c:v>
                </c:pt>
                <c:pt idx="89" formatCode="General">
                  <c:v>2.91</c:v>
                </c:pt>
                <c:pt idx="90" formatCode="General">
                  <c:v>1.73</c:v>
                </c:pt>
                <c:pt idx="91" formatCode="General">
                  <c:v>2.58</c:v>
                </c:pt>
                <c:pt idx="92" formatCode="General">
                  <c:v>1.56</c:v>
                </c:pt>
                <c:pt idx="93" formatCode="General">
                  <c:v>2.42</c:v>
                </c:pt>
                <c:pt idx="94" formatCode="General">
                  <c:v>2.0699999999999998</c:v>
                </c:pt>
                <c:pt idx="95" formatCode="General">
                  <c:v>1.84</c:v>
                </c:pt>
                <c:pt idx="96" formatCode="General">
                  <c:v>1.49</c:v>
                </c:pt>
                <c:pt idx="97" formatCode="General">
                  <c:v>2.02</c:v>
                </c:pt>
                <c:pt idx="98" formatCode="General">
                  <c:v>0.73</c:v>
                </c:pt>
                <c:pt idx="99" formatCode="General">
                  <c:v>1.4</c:v>
                </c:pt>
                <c:pt idx="100" formatCode="General">
                  <c:v>0.85</c:v>
                </c:pt>
                <c:pt idx="101" formatCode="General">
                  <c:v>0.93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1B-4E99-876B-17AFE4AFB775}"/>
            </c:ext>
          </c:extLst>
        </c:ser>
        <c:ser>
          <c:idx val="1"/>
          <c:order val="1"/>
          <c:tx>
            <c:v>Co2 Out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'All Run w Tables'!$L$5:$L$106</c:f>
              <c:numCache>
                <c:formatCode>0.0000</c:formatCode>
                <c:ptCount val="102"/>
                <c:pt idx="0">
                  <c:v>1.1040000000000001E-4</c:v>
                </c:pt>
                <c:pt idx="1">
                  <c:v>1.0311822169811307E-4</c:v>
                </c:pt>
                <c:pt idx="2">
                  <c:v>6.7712000000000013E-4</c:v>
                </c:pt>
                <c:pt idx="3">
                  <c:v>2.9352950000000012E-4</c:v>
                </c:pt>
                <c:pt idx="4">
                  <c:v>2.2386666666666667E-4</c:v>
                </c:pt>
                <c:pt idx="5">
                  <c:v>8.2951629629629679E-6</c:v>
                </c:pt>
                <c:pt idx="6">
                  <c:v>0</c:v>
                </c:pt>
                <c:pt idx="7">
                  <c:v>1.5300399382642556E-4</c:v>
                </c:pt>
                <c:pt idx="8">
                  <c:v>2.312388596271965E-4</c:v>
                </c:pt>
                <c:pt idx="9">
                  <c:v>4.7594397451661518E-4</c:v>
                </c:pt>
                <c:pt idx="10">
                  <c:v>2.687223881134287E-4</c:v>
                </c:pt>
                <c:pt idx="11">
                  <c:v>3.9656803092115748E-4</c:v>
                </c:pt>
                <c:pt idx="12">
                  <c:v>1.1541292745343713E-4</c:v>
                </c:pt>
                <c:pt idx="13">
                  <c:v>2.9533501308861144E-4</c:v>
                </c:pt>
                <c:pt idx="14">
                  <c:v>1.0819200000000001E-3</c:v>
                </c:pt>
                <c:pt idx="15">
                  <c:v>2.732686465925986E-4</c:v>
                </c:pt>
                <c:pt idx="16">
                  <c:v>0</c:v>
                </c:pt>
                <c:pt idx="17">
                  <c:v>7.3894571167849345E-4</c:v>
                </c:pt>
                <c:pt idx="18">
                  <c:v>6.6583778541696244E-4</c:v>
                </c:pt>
                <c:pt idx="19">
                  <c:v>6.9895466666666686E-4</c:v>
                </c:pt>
                <c:pt idx="20">
                  <c:v>2.1785600000000004E-3</c:v>
                </c:pt>
                <c:pt idx="21">
                  <c:v>2.1800441817840268E-4</c:v>
                </c:pt>
                <c:pt idx="22">
                  <c:v>2.9553343894977118E-4</c:v>
                </c:pt>
                <c:pt idx="23">
                  <c:v>1.5428859034568023E-3</c:v>
                </c:pt>
                <c:pt idx="24">
                  <c:v>1.6381493112164366E-4</c:v>
                </c:pt>
                <c:pt idx="25">
                  <c:v>2.2422991560266665E-4</c:v>
                </c:pt>
                <c:pt idx="26">
                  <c:v>1.0217354679894144E-4</c:v>
                </c:pt>
                <c:pt idx="27">
                  <c:v>1.4191367087301537E-4</c:v>
                </c:pt>
                <c:pt idx="28">
                  <c:v>2.2366120000000002E-3</c:v>
                </c:pt>
                <c:pt idx="29">
                  <c:v>1.5813330487407363E-4</c:v>
                </c:pt>
                <c:pt idx="30" formatCode="0.000">
                  <c:v>2.5119731529607406E-6</c:v>
                </c:pt>
                <c:pt idx="31" formatCode="0.000">
                  <c:v>8.5998942990841282E-5</c:v>
                </c:pt>
                <c:pt idx="32" formatCode="0.000">
                  <c:v>6.3743032676563715E-5</c:v>
                </c:pt>
                <c:pt idx="33" formatCode="0.000">
                  <c:v>9.1872898386282005E-4</c:v>
                </c:pt>
                <c:pt idx="34" formatCode="0.000">
                  <c:v>4.7109114385636208E-4</c:v>
                </c:pt>
                <c:pt idx="35" formatCode="0.000">
                  <c:v>5.1167821679437218E-6</c:v>
                </c:pt>
                <c:pt idx="36" formatCode="0.000">
                  <c:v>4.3730146892654624E-6</c:v>
                </c:pt>
                <c:pt idx="37" formatCode="0.000">
                  <c:v>5.6428966666665719E-6</c:v>
                </c:pt>
                <c:pt idx="38" formatCode="0.000">
                  <c:v>4.4635101010100228E-6</c:v>
                </c:pt>
                <c:pt idx="39" formatCode="0.000">
                  <c:v>1.3876760276760139E-6</c:v>
                </c:pt>
                <c:pt idx="40" formatCode="0.000">
                  <c:v>1.278199444444428E-6</c:v>
                </c:pt>
                <c:pt idx="41" formatCode="0.000">
                  <c:v>5.2001073554421774E-2</c:v>
                </c:pt>
                <c:pt idx="42" formatCode="0.000">
                  <c:v>2.3419103832918124E-2</c:v>
                </c:pt>
                <c:pt idx="43" formatCode="0.000">
                  <c:v>2.3375625203963597E-2</c:v>
                </c:pt>
                <c:pt idx="44" formatCode="0.000">
                  <c:v>7.8459593333333688E-2</c:v>
                </c:pt>
                <c:pt idx="45" formatCode="0.000">
                  <c:v>2.0749851919192003E-2</c:v>
                </c:pt>
                <c:pt idx="46" formatCode="0.000">
                  <c:v>1.1100477519379835E-2</c:v>
                </c:pt>
                <c:pt idx="47" formatCode="0.000">
                  <c:v>1.1695979166666662E-2</c:v>
                </c:pt>
                <c:pt idx="48" formatCode="0.000">
                  <c:v>1.4083109090909082E-2</c:v>
                </c:pt>
                <c:pt idx="49" formatCode="0.000">
                  <c:v>1.2074706382978724E-2</c:v>
                </c:pt>
                <c:pt idx="50" formatCode="0.000">
                  <c:v>9.1080000000000015E-3</c:v>
                </c:pt>
                <c:pt idx="51" formatCode="0.000">
                  <c:v>1.2113656140350884E-2</c:v>
                </c:pt>
                <c:pt idx="52" formatCode="0.000">
                  <c:v>1.6952996226415093E-2</c:v>
                </c:pt>
                <c:pt idx="53" formatCode="0.000">
                  <c:v>9.8503344262295105E-3</c:v>
                </c:pt>
                <c:pt idx="54" formatCode="0.000">
                  <c:v>5.0565925925925952E-3</c:v>
                </c:pt>
                <c:pt idx="55" formatCode="0.000">
                  <c:v>5.9767799999999753E-2</c:v>
                </c:pt>
                <c:pt idx="56" formatCode="0.000">
                  <c:v>1.2894165079365083E-2</c:v>
                </c:pt>
                <c:pt idx="57" formatCode="0.000">
                  <c:v>1.288676470588236E-2</c:v>
                </c:pt>
                <c:pt idx="58" formatCode="0.000">
                  <c:v>0</c:v>
                </c:pt>
                <c:pt idx="59" formatCode="0.000">
                  <c:v>1.458907210884354E-2</c:v>
                </c:pt>
                <c:pt idx="60" formatCode="0.000">
                  <c:v>2.5138448958333319E-3</c:v>
                </c:pt>
                <c:pt idx="61" formatCode="0.000">
                  <c:v>1.2144000000000002E-2</c:v>
                </c:pt>
                <c:pt idx="62" formatCode="0.000">
                  <c:v>1.3854882758620688E-2</c:v>
                </c:pt>
                <c:pt idx="63" formatCode="0.000">
                  <c:v>8.2800000000000009E-3</c:v>
                </c:pt>
                <c:pt idx="64" formatCode="0.000">
                  <c:v>1.0843733333333334E-2</c:v>
                </c:pt>
                <c:pt idx="65" formatCode="0.000">
                  <c:v>1.2593777777777777E-2</c:v>
                </c:pt>
                <c:pt idx="66" formatCode="0.000">
                  <c:v>7.8303298245614023E-3</c:v>
                </c:pt>
                <c:pt idx="67" formatCode="0.000">
                  <c:v>5.315555555555556E-3</c:v>
                </c:pt>
                <c:pt idx="68" formatCode="0.00">
                  <c:v>6.6078596491228074E-3</c:v>
                </c:pt>
                <c:pt idx="69" formatCode="0.000">
                  <c:v>6.6832888888888886E-2</c:v>
                </c:pt>
                <c:pt idx="70" formatCode="0.000">
                  <c:v>3.8231111111111122E-3</c:v>
                </c:pt>
                <c:pt idx="71" formatCode="0.000">
                  <c:v>4.9291927272727279E-3</c:v>
                </c:pt>
                <c:pt idx="72" formatCode="0.000">
                  <c:v>7.4059999999999994E-3</c:v>
                </c:pt>
                <c:pt idx="73" formatCode="0.000">
                  <c:v>8.5821846153846144E-3</c:v>
                </c:pt>
                <c:pt idx="74" formatCode="0.000">
                  <c:v>1.0285599999999997E-2</c:v>
                </c:pt>
                <c:pt idx="75" formatCode="0.000">
                  <c:v>5.6316974358974368E-3</c:v>
                </c:pt>
                <c:pt idx="76" formatCode="0.000">
                  <c:v>7.1908952380952389E-3</c:v>
                </c:pt>
                <c:pt idx="77" formatCode="0.000">
                  <c:v>5.4110033898305092E-3</c:v>
                </c:pt>
                <c:pt idx="78" formatCode="0.000">
                  <c:v>9.8385882352941181E-3</c:v>
                </c:pt>
                <c:pt idx="79" formatCode="0.000">
                  <c:v>7.2407755102040809E-3</c:v>
                </c:pt>
                <c:pt idx="80" formatCode="0.000">
                  <c:v>4.5079999999999999E-3</c:v>
                </c:pt>
                <c:pt idx="81" formatCode="0.000">
                  <c:v>1.3890800000000002E-2</c:v>
                </c:pt>
                <c:pt idx="82" formatCode="0.000">
                  <c:v>1.3890800000000002E-2</c:v>
                </c:pt>
                <c:pt idx="83" formatCode="0.000">
                  <c:v>7.1099936507936527E-3</c:v>
                </c:pt>
                <c:pt idx="84" formatCode="0.000">
                  <c:v>1.3084195121951222E-2</c:v>
                </c:pt>
                <c:pt idx="85" formatCode="0.000">
                  <c:v>1.7953917948717948E-2</c:v>
                </c:pt>
                <c:pt idx="86" formatCode="0.000">
                  <c:v>4.8992190476190491E-3</c:v>
                </c:pt>
                <c:pt idx="87" formatCode="0.000">
                  <c:v>4.8190476190476186E-3</c:v>
                </c:pt>
                <c:pt idx="88" formatCode="0.000">
                  <c:v>9.0436713178294586E-3</c:v>
                </c:pt>
                <c:pt idx="89" formatCode="0.000">
                  <c:v>1.0051475862068969E-2</c:v>
                </c:pt>
                <c:pt idx="90" formatCode="0.000">
                  <c:v>1.090060606060606E-2</c:v>
                </c:pt>
                <c:pt idx="91" formatCode="0.000">
                  <c:v>1.2171600000000001E-2</c:v>
                </c:pt>
                <c:pt idx="92" formatCode="0.000">
                  <c:v>1.4076E-2</c:v>
                </c:pt>
                <c:pt idx="93" formatCode="0.000">
                  <c:v>1.9927200000000009E-2</c:v>
                </c:pt>
                <c:pt idx="94" formatCode="0.000">
                  <c:v>1.7001599999999999E-2</c:v>
                </c:pt>
                <c:pt idx="95" formatCode="0.000">
                  <c:v>1.0500266666666667E-2</c:v>
                </c:pt>
                <c:pt idx="96" formatCode="0.000">
                  <c:v>1.1923199999999997E-2</c:v>
                </c:pt>
                <c:pt idx="97" formatCode="0.000">
                  <c:v>1.8399999999999996E-2</c:v>
                </c:pt>
                <c:pt idx="98" formatCode="0.000">
                  <c:v>1.0653600000000001E-2</c:v>
                </c:pt>
                <c:pt idx="99" formatCode="0.000">
                  <c:v>1.1138133333333331E-2</c:v>
                </c:pt>
                <c:pt idx="100" formatCode="0.000">
                  <c:v>1.3738666666666668E-2</c:v>
                </c:pt>
                <c:pt idx="101" formatCode="0.000">
                  <c:v>5.0088888888888882E-3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1B-4E99-876B-17AFE4AFB775}"/>
            </c:ext>
          </c:extLst>
        </c:ser>
        <c:ser>
          <c:idx val="2"/>
          <c:order val="2"/>
          <c:tx>
            <c:v>Co2 Captured</c:v>
          </c:tx>
          <c:spPr>
            <a:ln w="28575" cmpd="sng">
              <a:solidFill>
                <a:schemeClr val="accent5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val>
            <c:numRef>
              <c:f>'All Run w Tables'!$M$5:$M$106</c:f>
              <c:numCache>
                <c:formatCode>0.00</c:formatCode>
                <c:ptCount val="102"/>
                <c:pt idx="0">
                  <c:v>3.9653398399999999</c:v>
                </c:pt>
                <c:pt idx="1">
                  <c:v>9.8702052017783029</c:v>
                </c:pt>
                <c:pt idx="2">
                  <c:v>7.0112390400000022</c:v>
                </c:pt>
                <c:pt idx="3">
                  <c:v>8.1137077527222221</c:v>
                </c:pt>
                <c:pt idx="4">
                  <c:v>21.45444109333333</c:v>
                </c:pt>
                <c:pt idx="5">
                  <c:v>5.479955093725926</c:v>
                </c:pt>
                <c:pt idx="6">
                  <c:v>0</c:v>
                </c:pt>
                <c:pt idx="7">
                  <c:v>7.9048096367649547</c:v>
                </c:pt>
                <c:pt idx="8">
                  <c:v>6.7954597940986492</c:v>
                </c:pt>
                <c:pt idx="9">
                  <c:v>5.9879098436797857</c:v>
                </c:pt>
                <c:pt idx="10">
                  <c:v>5.0718022640029332</c:v>
                </c:pt>
                <c:pt idx="11">
                  <c:v>6.4571365988323937</c:v>
                </c:pt>
                <c:pt idx="12">
                  <c:v>7.5355417884377367</c:v>
                </c:pt>
                <c:pt idx="13">
                  <c:v>4.8856542336143489</c:v>
                </c:pt>
                <c:pt idx="14">
                  <c:v>3.3802247466666677</c:v>
                </c:pt>
                <c:pt idx="15">
                  <c:v>8.6202806039324109</c:v>
                </c:pt>
                <c:pt idx="16">
                  <c:v>0</c:v>
                </c:pt>
                <c:pt idx="17">
                  <c:v>6.0427219213332517</c:v>
                </c:pt>
                <c:pt idx="18">
                  <c:v>4.8570524040779857</c:v>
                </c:pt>
                <c:pt idx="19">
                  <c:v>9.8759150453333309</c:v>
                </c:pt>
                <c:pt idx="20">
                  <c:v>4.1014483200000003</c:v>
                </c:pt>
                <c:pt idx="21">
                  <c:v>3.3584704622484791</c:v>
                </c:pt>
                <c:pt idx="22">
                  <c:v>5.6342824113099139</c:v>
                </c:pt>
                <c:pt idx="23">
                  <c:v>3.0627606396109548</c:v>
                </c:pt>
                <c:pt idx="24">
                  <c:v>2.9247509086075829</c:v>
                </c:pt>
                <c:pt idx="25">
                  <c:v>3.1548332675510649</c:v>
                </c:pt>
                <c:pt idx="26">
                  <c:v>3.150776820897645</c:v>
                </c:pt>
                <c:pt idx="27">
                  <c:v>3.172993541884678</c:v>
                </c:pt>
                <c:pt idx="28">
                  <c:v>9.011547890000001</c:v>
                </c:pt>
                <c:pt idx="29">
                  <c:v>3.0118367360284628</c:v>
                </c:pt>
                <c:pt idx="30">
                  <c:v>4.0999974880268466</c:v>
                </c:pt>
                <c:pt idx="31">
                  <c:v>7.0099140010570089</c:v>
                </c:pt>
                <c:pt idx="32">
                  <c:v>6.1899362569673242</c:v>
                </c:pt>
                <c:pt idx="33">
                  <c:v>3.7190812710161372</c:v>
                </c:pt>
                <c:pt idx="34">
                  <c:v>5.0295289088561441</c:v>
                </c:pt>
                <c:pt idx="35">
                  <c:v>8.7699948832178318</c:v>
                </c:pt>
                <c:pt idx="36">
                  <c:v>9.4699956269853107</c:v>
                </c:pt>
                <c:pt idx="37">
                  <c:v>9.0799943571033328</c:v>
                </c:pt>
                <c:pt idx="38">
                  <c:v>9.869995536489899</c:v>
                </c:pt>
                <c:pt idx="39">
                  <c:v>5.7799986123239728</c:v>
                </c:pt>
                <c:pt idx="40">
                  <c:v>0.89999872180055562</c:v>
                </c:pt>
                <c:pt idx="41">
                  <c:v>8.3579989264455783</c:v>
                </c:pt>
                <c:pt idx="42">
                  <c:v>2.0965808961670818</c:v>
                </c:pt>
                <c:pt idx="43">
                  <c:v>0.25662437479603645</c:v>
                </c:pt>
                <c:pt idx="44">
                  <c:v>1.3215404066666663</c:v>
                </c:pt>
                <c:pt idx="45">
                  <c:v>1.959250148080808</c:v>
                </c:pt>
                <c:pt idx="46">
                  <c:v>3.63889952248062</c:v>
                </c:pt>
                <c:pt idx="47">
                  <c:v>5.9583040208333333</c:v>
                </c:pt>
                <c:pt idx="48">
                  <c:v>4.5459168909090906</c:v>
                </c:pt>
                <c:pt idx="49">
                  <c:v>5.0079252936170207</c:v>
                </c:pt>
                <c:pt idx="50">
                  <c:v>5.7108919999999994</c:v>
                </c:pt>
                <c:pt idx="51">
                  <c:v>5.1778863438596492</c:v>
                </c:pt>
                <c:pt idx="52">
                  <c:v>5.4230470037735854</c:v>
                </c:pt>
                <c:pt idx="53">
                  <c:v>5.3701496655737708</c:v>
                </c:pt>
                <c:pt idx="54">
                  <c:v>5.1449434074074079</c:v>
                </c:pt>
                <c:pt idx="55">
                  <c:v>5.4002322000000005</c:v>
                </c:pt>
                <c:pt idx="56">
                  <c:v>3.6071058349206351</c:v>
                </c:pt>
                <c:pt idx="57">
                  <c:v>4.9571132352941172</c:v>
                </c:pt>
                <c:pt idx="58">
                  <c:v>1.39</c:v>
                </c:pt>
                <c:pt idx="59">
                  <c:v>4.3354109278911563</c:v>
                </c:pt>
                <c:pt idx="60">
                  <c:v>3.4674861551041669</c:v>
                </c:pt>
                <c:pt idx="61">
                  <c:v>2.7478559999999996</c:v>
                </c:pt>
                <c:pt idx="62">
                  <c:v>2.3161451172413794</c:v>
                </c:pt>
                <c:pt idx="63">
                  <c:v>0.84172000000000002</c:v>
                </c:pt>
                <c:pt idx="64">
                  <c:v>1.0291562666666667</c:v>
                </c:pt>
                <c:pt idx="65">
                  <c:v>1.0374062222222222</c:v>
                </c:pt>
                <c:pt idx="66">
                  <c:v>1.6621696701754385</c:v>
                </c:pt>
                <c:pt idx="67">
                  <c:v>1.5846844444444446</c:v>
                </c:pt>
                <c:pt idx="68">
                  <c:v>3.6433921403508771</c:v>
                </c:pt>
                <c:pt idx="69">
                  <c:v>1.313167111111111</c:v>
                </c:pt>
                <c:pt idx="70">
                  <c:v>0.90617688888888892</c:v>
                </c:pt>
                <c:pt idx="71">
                  <c:v>9.1750708072727267</c:v>
                </c:pt>
                <c:pt idx="72">
                  <c:v>3.0425939999999998</c:v>
                </c:pt>
                <c:pt idx="73">
                  <c:v>3.1914178153846158</c:v>
                </c:pt>
                <c:pt idx="74">
                  <c:v>5.8897144000000008</c:v>
                </c:pt>
                <c:pt idx="75">
                  <c:v>5.3643683025641025</c:v>
                </c:pt>
                <c:pt idx="76">
                  <c:v>5.3728091047619051</c:v>
                </c:pt>
                <c:pt idx="77">
                  <c:v>5.3445889966101694</c:v>
                </c:pt>
                <c:pt idx="78">
                  <c:v>6.0501614117647051</c:v>
                </c:pt>
                <c:pt idx="79">
                  <c:v>3.412759224489796</c:v>
                </c:pt>
                <c:pt idx="80">
                  <c:v>3.7154920000000002</c:v>
                </c:pt>
                <c:pt idx="81">
                  <c:v>5.1661091999999993</c:v>
                </c:pt>
                <c:pt idx="82">
                  <c:v>5.3461091999999999</c:v>
                </c:pt>
                <c:pt idx="83">
                  <c:v>4.8328900063492064</c:v>
                </c:pt>
                <c:pt idx="84">
                  <c:v>3.6769158048780488</c:v>
                </c:pt>
                <c:pt idx="85">
                  <c:v>3.5820460820512823</c:v>
                </c:pt>
                <c:pt idx="86">
                  <c:v>2.445100780952381</c:v>
                </c:pt>
                <c:pt idx="87">
                  <c:v>5.8051809523809519</c:v>
                </c:pt>
                <c:pt idx="88">
                  <c:v>2.0009563286821703</c:v>
                </c:pt>
                <c:pt idx="89">
                  <c:v>2.899948524137931</c:v>
                </c:pt>
                <c:pt idx="90">
                  <c:v>1.7190993939393939</c:v>
                </c:pt>
                <c:pt idx="91">
                  <c:v>2.5678284000000002</c:v>
                </c:pt>
                <c:pt idx="92">
                  <c:v>1.5459240000000001</c:v>
                </c:pt>
                <c:pt idx="93">
                  <c:v>2.4000727999999998</c:v>
                </c:pt>
                <c:pt idx="94">
                  <c:v>2.0529983999999999</c:v>
                </c:pt>
                <c:pt idx="95">
                  <c:v>1.8294997333333334</c:v>
                </c:pt>
                <c:pt idx="96">
                  <c:v>1.4780768</c:v>
                </c:pt>
                <c:pt idx="97">
                  <c:v>2.0015999999999998</c:v>
                </c:pt>
                <c:pt idx="98">
                  <c:v>0.71934639999999994</c:v>
                </c:pt>
                <c:pt idx="99">
                  <c:v>1.3888618666666666</c:v>
                </c:pt>
                <c:pt idx="100">
                  <c:v>0.8362613333333333</c:v>
                </c:pt>
                <c:pt idx="101">
                  <c:v>0.92499111111111121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1B-4E99-876B-17AFE4AF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42323"/>
        <c:axId val="86163043"/>
      </c:lineChart>
      <c:catAx>
        <c:axId val="116174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auto val="1"/>
        <c:lblAlgn val="ctr"/>
        <c:lblOffset val="100"/>
        <c:noMultiLvlLbl val="1"/>
      </c:catAx>
      <c:valAx>
        <c:axId val="86163043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ysClr val="windowText" lastClr="000000"/>
                </a:solidFill>
              </a:rPr>
              <a:t>Operating Hours per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Run 1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>
                    <a:alpha val="99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Run w Tables'!$B$5:$B$34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'All Run w Tables'!$C$5:$C$34</c:f>
              <c:numCache>
                <c:formatCode>h:mm</c:formatCode>
                <c:ptCount val="30"/>
                <c:pt idx="0">
                  <c:v>0.27916666666666667</c:v>
                </c:pt>
                <c:pt idx="1">
                  <c:v>0.3347222222222222</c:v>
                </c:pt>
                <c:pt idx="2">
                  <c:v>0.24722222222222218</c:v>
                </c:pt>
                <c:pt idx="3">
                  <c:v>0.2805555555555555</c:v>
                </c:pt>
                <c:pt idx="4">
                  <c:v>0.27222222222222225</c:v>
                </c:pt>
                <c:pt idx="5">
                  <c:v>0.22152777777777782</c:v>
                </c:pt>
                <c:pt idx="6">
                  <c:v>0.29652777777777778</c:v>
                </c:pt>
                <c:pt idx="7">
                  <c:v>0.27222222222222225</c:v>
                </c:pt>
                <c:pt idx="8">
                  <c:v>0.24791666666666662</c:v>
                </c:pt>
                <c:pt idx="9">
                  <c:v>0.2541666666666666</c:v>
                </c:pt>
                <c:pt idx="10">
                  <c:v>0.22361111111111115</c:v>
                </c:pt>
                <c:pt idx="11">
                  <c:v>0.21527777777777785</c:v>
                </c:pt>
                <c:pt idx="12">
                  <c:v>0.25277777777777777</c:v>
                </c:pt>
                <c:pt idx="13">
                  <c:v>0.2729166666666667</c:v>
                </c:pt>
                <c:pt idx="14">
                  <c:v>0.21944444444444444</c:v>
                </c:pt>
                <c:pt idx="15">
                  <c:v>0.27083333333333326</c:v>
                </c:pt>
                <c:pt idx="16">
                  <c:v>0.18472222222222223</c:v>
                </c:pt>
                <c:pt idx="17">
                  <c:v>0.24166666666666664</c:v>
                </c:pt>
                <c:pt idx="18">
                  <c:v>0.22291666666666671</c:v>
                </c:pt>
                <c:pt idx="19">
                  <c:v>0.21666666666666667</c:v>
                </c:pt>
                <c:pt idx="20">
                  <c:v>0.17777777777777781</c:v>
                </c:pt>
                <c:pt idx="21">
                  <c:v>0.2048611111111111</c:v>
                </c:pt>
                <c:pt idx="22">
                  <c:v>0.21597222222222223</c:v>
                </c:pt>
                <c:pt idx="23">
                  <c:v>0.2277777777777778</c:v>
                </c:pt>
                <c:pt idx="24">
                  <c:v>0.21250000000000002</c:v>
                </c:pt>
                <c:pt idx="25">
                  <c:v>0.23958333333333337</c:v>
                </c:pt>
                <c:pt idx="26">
                  <c:v>0.19930555555555551</c:v>
                </c:pt>
                <c:pt idx="27">
                  <c:v>0.22083333333333338</c:v>
                </c:pt>
                <c:pt idx="28">
                  <c:v>0.25486111111111115</c:v>
                </c:pt>
                <c:pt idx="29">
                  <c:v>0.18958333333333338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F2A-496A-87D3-70097A1F2EDB}"/>
            </c:ext>
          </c:extLst>
        </c:ser>
        <c:ser>
          <c:idx val="4"/>
          <c:order val="1"/>
          <c:tx>
            <c:v>Run 2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Run w Tables'!$B$35:$B$72</c:f>
              <c:numCache>
                <c:formatCode>General</c:formatCode>
                <c:ptCount val="38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  <c:pt idx="22">
                  <c:v>53</c:v>
                </c:pt>
                <c:pt idx="23">
                  <c:v>54</c:v>
                </c:pt>
                <c:pt idx="24">
                  <c:v>55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  <c:pt idx="30">
                  <c:v>61</c:v>
                </c:pt>
                <c:pt idx="31">
                  <c:v>62</c:v>
                </c:pt>
                <c:pt idx="32">
                  <c:v>63</c:v>
                </c:pt>
                <c:pt idx="33">
                  <c:v>64</c:v>
                </c:pt>
                <c:pt idx="34">
                  <c:v>65</c:v>
                </c:pt>
                <c:pt idx="35">
                  <c:v>66</c:v>
                </c:pt>
                <c:pt idx="36">
                  <c:v>67</c:v>
                </c:pt>
                <c:pt idx="37">
                  <c:v>68</c:v>
                </c:pt>
              </c:numCache>
            </c:numRef>
          </c:xVal>
          <c:yVal>
            <c:numRef>
              <c:f>'All Run w Tables'!$C$35:$C$72</c:f>
              <c:numCache>
                <c:formatCode>h:mm</c:formatCode>
                <c:ptCount val="38"/>
                <c:pt idx="0">
                  <c:v>0.2277777777777778</c:v>
                </c:pt>
                <c:pt idx="1">
                  <c:v>0.22499999999999998</c:v>
                </c:pt>
                <c:pt idx="2">
                  <c:v>0.31250000000000006</c:v>
                </c:pt>
                <c:pt idx="3">
                  <c:v>0.21666666666666667</c:v>
                </c:pt>
                <c:pt idx="4">
                  <c:v>0.22013888888888888</c:v>
                </c:pt>
                <c:pt idx="5">
                  <c:v>0.26944444444444443</c:v>
                </c:pt>
                <c:pt idx="6">
                  <c:v>0.28819444444444442</c:v>
                </c:pt>
                <c:pt idx="7">
                  <c:v>0.27013888888888887</c:v>
                </c:pt>
                <c:pt idx="8">
                  <c:v>0.2638888888888889</c:v>
                </c:pt>
                <c:pt idx="9">
                  <c:v>0.23472222222222222</c:v>
                </c:pt>
                <c:pt idx="10">
                  <c:v>0.25277777777777777</c:v>
                </c:pt>
                <c:pt idx="11">
                  <c:v>0.25555555555555554</c:v>
                </c:pt>
                <c:pt idx="12">
                  <c:v>0.23124999999999996</c:v>
                </c:pt>
                <c:pt idx="13">
                  <c:v>0.20763888888888887</c:v>
                </c:pt>
                <c:pt idx="14">
                  <c:v>0.21736111111111106</c:v>
                </c:pt>
                <c:pt idx="15">
                  <c:v>0.20555555555555555</c:v>
                </c:pt>
                <c:pt idx="16">
                  <c:v>0.21111111111111114</c:v>
                </c:pt>
                <c:pt idx="17">
                  <c:v>0.22500000000000003</c:v>
                </c:pt>
                <c:pt idx="18">
                  <c:v>0.21180555555555558</c:v>
                </c:pt>
                <c:pt idx="19">
                  <c:v>0.21249999999999997</c:v>
                </c:pt>
                <c:pt idx="20">
                  <c:v>0.21180555555555552</c:v>
                </c:pt>
                <c:pt idx="21">
                  <c:v>0.21527777777777773</c:v>
                </c:pt>
                <c:pt idx="22">
                  <c:v>0.21666666666666662</c:v>
                </c:pt>
                <c:pt idx="23">
                  <c:v>0.22222222222222227</c:v>
                </c:pt>
                <c:pt idx="24">
                  <c:v>0.21875</c:v>
                </c:pt>
                <c:pt idx="25">
                  <c:v>0.28750000000000003</c:v>
                </c:pt>
                <c:pt idx="26">
                  <c:v>0.21180555555555552</c:v>
                </c:pt>
                <c:pt idx="27">
                  <c:v>0.22013888888888894</c:v>
                </c:pt>
                <c:pt idx="28">
                  <c:v>0.21388888888888885</c:v>
                </c:pt>
                <c:pt idx="29">
                  <c:v>0.25208333333333338</c:v>
                </c:pt>
                <c:pt idx="30">
                  <c:v>0.2097222222222222</c:v>
                </c:pt>
                <c:pt idx="31">
                  <c:v>0.21388888888888891</c:v>
                </c:pt>
                <c:pt idx="32">
                  <c:v>0.25138888888888883</c:v>
                </c:pt>
                <c:pt idx="33">
                  <c:v>0.23750000000000004</c:v>
                </c:pt>
                <c:pt idx="34">
                  <c:v>0.18958333333333338</c:v>
                </c:pt>
                <c:pt idx="35">
                  <c:v>0.21736111111111106</c:v>
                </c:pt>
                <c:pt idx="36">
                  <c:v>0.28819444444444442</c:v>
                </c:pt>
                <c:pt idx="37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F2A-496A-87D3-70097A1F2EDB}"/>
            </c:ext>
          </c:extLst>
        </c:ser>
        <c:ser>
          <c:idx val="0"/>
          <c:order val="2"/>
          <c:tx>
            <c:v>Run 3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Run w Tables'!$B$73:$B$75</c:f>
              <c:numCache>
                <c:formatCode>General</c:formatCode>
                <c:ptCount val="3"/>
                <c:pt idx="0">
                  <c:v>69</c:v>
                </c:pt>
                <c:pt idx="1">
                  <c:v>70</c:v>
                </c:pt>
                <c:pt idx="2">
                  <c:v>71</c:v>
                </c:pt>
              </c:numCache>
            </c:numRef>
          </c:xVal>
          <c:yVal>
            <c:numRef>
              <c:f>'All Run w Tables'!$C$73:$C$75</c:f>
              <c:numCache>
                <c:formatCode>h:mm</c:formatCode>
                <c:ptCount val="3"/>
                <c:pt idx="0">
                  <c:v>0.2048611111111111</c:v>
                </c:pt>
                <c:pt idx="1">
                  <c:v>0.13402777777777775</c:v>
                </c:pt>
                <c:pt idx="2">
                  <c:v>0.18263888888888885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2A-496A-87D3-70097A1F2EDB}"/>
            </c:ext>
          </c:extLst>
        </c:ser>
        <c:ser>
          <c:idx val="1"/>
          <c:order val="3"/>
          <c:tx>
            <c:v>Run 4</c:v>
          </c:tx>
          <c:spPr>
            <a:ln w="19050" cap="rnd">
              <a:solidFill>
                <a:srgbClr val="FF33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1474268841394826E-2"/>
                  <c:y val="-0.192317721260734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Run w Tables'!$B$76:$B$88</c:f>
              <c:numCache>
                <c:formatCode>General</c:formatCode>
                <c:ptCount val="13"/>
                <c:pt idx="0">
                  <c:v>72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</c:numCache>
            </c:numRef>
          </c:xVal>
          <c:yVal>
            <c:numRef>
              <c:f>'All Run w Tables'!$C$76:$C$88</c:f>
              <c:numCache>
                <c:formatCode>h:mm</c:formatCode>
                <c:ptCount val="13"/>
                <c:pt idx="0">
                  <c:v>0.23541666666666666</c:v>
                </c:pt>
                <c:pt idx="1">
                  <c:v>0.17291666666666661</c:v>
                </c:pt>
                <c:pt idx="2">
                  <c:v>0.21944444444444444</c:v>
                </c:pt>
                <c:pt idx="3">
                  <c:v>0.19861111111111113</c:v>
                </c:pt>
                <c:pt idx="4">
                  <c:v>0.27430555555555558</c:v>
                </c:pt>
                <c:pt idx="5">
                  <c:v>0.25625000000000003</c:v>
                </c:pt>
                <c:pt idx="6">
                  <c:v>0.15000000000000002</c:v>
                </c:pt>
                <c:pt idx="7">
                  <c:v>0.26805555555555549</c:v>
                </c:pt>
                <c:pt idx="8">
                  <c:v>0.32430555555555557</c:v>
                </c:pt>
                <c:pt idx="9">
                  <c:v>0.22777777777777775</c:v>
                </c:pt>
                <c:pt idx="10">
                  <c:v>0.26319444444444451</c:v>
                </c:pt>
                <c:pt idx="11">
                  <c:v>0.24722222222222223</c:v>
                </c:pt>
                <c:pt idx="12">
                  <c:v>0.23472222222222222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2A-496A-87D3-70097A1F2EDB}"/>
            </c:ext>
          </c:extLst>
        </c:ser>
        <c:ser>
          <c:idx val="2"/>
          <c:order val="4"/>
          <c:tx>
            <c:v>Run 5</c:v>
          </c:tx>
          <c:spPr>
            <a:ln w="19050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Run w Tables'!$B$89:$B$106</c:f>
              <c:numCache>
                <c:formatCode>General</c:formatCode>
                <c:ptCount val="18"/>
                <c:pt idx="0">
                  <c:v>85</c:v>
                </c:pt>
                <c:pt idx="1">
                  <c:v>86</c:v>
                </c:pt>
                <c:pt idx="2">
                  <c:v>87</c:v>
                </c:pt>
                <c:pt idx="3">
                  <c:v>88</c:v>
                </c:pt>
                <c:pt idx="4">
                  <c:v>89</c:v>
                </c:pt>
                <c:pt idx="5">
                  <c:v>90</c:v>
                </c:pt>
                <c:pt idx="6">
                  <c:v>91</c:v>
                </c:pt>
                <c:pt idx="7">
                  <c:v>92</c:v>
                </c:pt>
                <c:pt idx="8">
                  <c:v>93</c:v>
                </c:pt>
                <c:pt idx="9">
                  <c:v>94</c:v>
                </c:pt>
                <c:pt idx="10">
                  <c:v>95</c:v>
                </c:pt>
                <c:pt idx="11">
                  <c:v>96</c:v>
                </c:pt>
                <c:pt idx="12">
                  <c:v>97</c:v>
                </c:pt>
                <c:pt idx="13">
                  <c:v>98</c:v>
                </c:pt>
                <c:pt idx="14">
                  <c:v>99</c:v>
                </c:pt>
                <c:pt idx="15">
                  <c:v>100</c:v>
                </c:pt>
                <c:pt idx="16">
                  <c:v>101</c:v>
                </c:pt>
                <c:pt idx="17">
                  <c:v>102</c:v>
                </c:pt>
              </c:numCache>
            </c:numRef>
          </c:xVal>
          <c:yVal>
            <c:numRef>
              <c:f>'All Run w Tables'!$C$89:$C$106</c:f>
              <c:numCache>
                <c:formatCode>h:mm</c:formatCode>
                <c:ptCount val="18"/>
                <c:pt idx="0">
                  <c:v>0.22916666666666663</c:v>
                </c:pt>
                <c:pt idx="1">
                  <c:v>0.27083333333333331</c:v>
                </c:pt>
                <c:pt idx="2">
                  <c:v>0.29097222222222224</c:v>
                </c:pt>
                <c:pt idx="3">
                  <c:v>0.3652777777777777</c:v>
                </c:pt>
                <c:pt idx="4">
                  <c:v>0.31666666666666665</c:v>
                </c:pt>
                <c:pt idx="5">
                  <c:v>0.30694444444444446</c:v>
                </c:pt>
                <c:pt idx="6">
                  <c:v>0.31597222222222227</c:v>
                </c:pt>
                <c:pt idx="7">
                  <c:v>0.27847222222222223</c:v>
                </c:pt>
                <c:pt idx="8">
                  <c:v>0.2729166666666667</c:v>
                </c:pt>
                <c:pt idx="9">
                  <c:v>0.3263888888888889</c:v>
                </c:pt>
                <c:pt idx="10">
                  <c:v>0.28541666666666671</c:v>
                </c:pt>
                <c:pt idx="11">
                  <c:v>0.30763888888888885</c:v>
                </c:pt>
                <c:pt idx="12">
                  <c:v>0.27013888888888887</c:v>
                </c:pt>
                <c:pt idx="13">
                  <c:v>0.33055555555555555</c:v>
                </c:pt>
                <c:pt idx="14">
                  <c:v>0.28124999999999994</c:v>
                </c:pt>
                <c:pt idx="15">
                  <c:v>0.25972222222222219</c:v>
                </c:pt>
                <c:pt idx="16">
                  <c:v>0.22638888888888892</c:v>
                </c:pt>
                <c:pt idx="17">
                  <c:v>0.30347222222222225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F2A-496A-87D3-70097A1F2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26544"/>
        <c:axId val="1645144304"/>
      </c:scatterChart>
      <c:valAx>
        <c:axId val="1645126544"/>
        <c:scaling>
          <c:orientation val="minMax"/>
          <c:max val="10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44304"/>
        <c:crosses val="autoZero"/>
        <c:crossBetween val="midCat"/>
        <c:majorUnit val="3"/>
      </c:valAx>
      <c:valAx>
        <c:axId val="16451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Hours of Operation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26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UAE Concentration Regen  (Vol%)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Concentration 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'UAE Results'!$AI$29:$AI$38</c:f>
              <c:numCache>
                <c:formatCode>0.00</c:formatCode>
                <c:ptCount val="10"/>
                <c:pt idx="0">
                  <c:v>74.900000000000006</c:v>
                </c:pt>
                <c:pt idx="1">
                  <c:v>95.92</c:v>
                </c:pt>
                <c:pt idx="2">
                  <c:v>91.5</c:v>
                </c:pt>
                <c:pt idx="3">
                  <c:v>81.95</c:v>
                </c:pt>
                <c:pt idx="4">
                  <c:v>73.75</c:v>
                </c:pt>
                <c:pt idx="5">
                  <c:v>68.52</c:v>
                </c:pt>
                <c:pt idx="6">
                  <c:v>47.09</c:v>
                </c:pt>
                <c:pt idx="7">
                  <c:v>77.16</c:v>
                </c:pt>
                <c:pt idx="8">
                  <c:v>81.36</c:v>
                </c:pt>
                <c:pt idx="9">
                  <c:v>78.489999999999995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9-4056-88D8-894E950E13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dropLines>
        <c:marker val="1"/>
        <c:smooth val="0"/>
        <c:axId val="1514835024"/>
        <c:axId val="1499338384"/>
      </c:lineChart>
      <c:catAx>
        <c:axId val="151483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38384"/>
        <c:crosses val="autoZero"/>
        <c:auto val="1"/>
        <c:lblAlgn val="ctr"/>
        <c:lblOffset val="100"/>
        <c:noMultiLvlLbl val="0"/>
      </c:catAx>
      <c:valAx>
        <c:axId val="1499338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CO₂ Concentration During Adsorption </a:t>
            </a:r>
          </a:p>
          <a:p>
            <a:pPr>
              <a:defRPr/>
            </a:pPr>
            <a:r>
              <a:rPr lang="en-GB" b="1"/>
              <a:t>Run 2 </a:t>
            </a:r>
            <a:r>
              <a:rPr lang="th-TH" b="1"/>
              <a:t>(</a:t>
            </a:r>
            <a:r>
              <a:rPr lang="en-US" b="1"/>
              <a:t>UAE</a:t>
            </a:r>
            <a:r>
              <a:rPr lang="th-TH" b="1"/>
              <a:t>)</a:t>
            </a:r>
            <a:r>
              <a:rPr lang="en-US" b="1"/>
              <a:t> 2nd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Flue Gas Inlet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Results'!$AI$3:$AI$12</c:f>
              <c:numCache>
                <c:formatCode>0.00</c:formatCode>
                <c:ptCount val="10"/>
                <c:pt idx="0">
                  <c:v>19.23</c:v>
                </c:pt>
                <c:pt idx="1">
                  <c:v>19.3</c:v>
                </c:pt>
                <c:pt idx="2">
                  <c:v>19.5</c:v>
                </c:pt>
                <c:pt idx="3">
                  <c:v>19.600000000000001</c:v>
                </c:pt>
                <c:pt idx="4">
                  <c:v>19.739999999999998</c:v>
                </c:pt>
                <c:pt idx="5">
                  <c:v>19.399999999999999</c:v>
                </c:pt>
                <c:pt idx="6">
                  <c:v>19.48</c:v>
                </c:pt>
                <c:pt idx="7">
                  <c:v>19.8</c:v>
                </c:pt>
                <c:pt idx="8">
                  <c:v>19.7</c:v>
                </c:pt>
                <c:pt idx="9">
                  <c:v>19.78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D-4F2C-A06C-C40DC787FE27}"/>
            </c:ext>
          </c:extLst>
        </c:ser>
        <c:ser>
          <c:idx val="1"/>
          <c:order val="1"/>
          <c:tx>
            <c:v>Reactor Effluent</c:v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Results'!$AI$16:$AI$25</c:f>
              <c:numCache>
                <c:formatCode>0.00</c:formatCode>
                <c:ptCount val="10"/>
                <c:pt idx="0">
                  <c:v>0.32</c:v>
                </c:pt>
                <c:pt idx="1">
                  <c:v>0.31</c:v>
                </c:pt>
                <c:pt idx="2">
                  <c:v>0.31</c:v>
                </c:pt>
                <c:pt idx="3">
                  <c:v>0.3</c:v>
                </c:pt>
                <c:pt idx="4">
                  <c:v>0.3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0.28999999999999998</c:v>
                </c:pt>
                <c:pt idx="8">
                  <c:v>0.28000000000000003</c:v>
                </c:pt>
                <c:pt idx="9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D-4F2C-A06C-C40DC787FE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842016"/>
        <c:axId val="107842496"/>
      </c:lineChart>
      <c:catAx>
        <c:axId val="10784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496"/>
        <c:crosses val="autoZero"/>
        <c:auto val="1"/>
        <c:lblAlgn val="ctr"/>
        <c:lblOffset val="100"/>
        <c:noMultiLvlLbl val="0"/>
      </c:catAx>
      <c:valAx>
        <c:axId val="1078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UAE Concentration Regen  (Vol%)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Concentration 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'UAE Results'!$V$29:$V$38</c:f>
              <c:numCache>
                <c:formatCode>0.00</c:formatCode>
                <c:ptCount val="10"/>
                <c:pt idx="0">
                  <c:v>1.65</c:v>
                </c:pt>
                <c:pt idx="1">
                  <c:v>1.5</c:v>
                </c:pt>
                <c:pt idx="2">
                  <c:v>0.97</c:v>
                </c:pt>
                <c:pt idx="3">
                  <c:v>0.75</c:v>
                </c:pt>
                <c:pt idx="4">
                  <c:v>0.48</c:v>
                </c:pt>
                <c:pt idx="5">
                  <c:v>0.37</c:v>
                </c:pt>
                <c:pt idx="6">
                  <c:v>0.28999999999999998</c:v>
                </c:pt>
                <c:pt idx="7">
                  <c:v>0.12</c:v>
                </c:pt>
                <c:pt idx="8">
                  <c:v>0.14000000000000001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A-492A-89FF-D2549300BA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dropLines>
        <c:marker val="1"/>
        <c:smooth val="0"/>
        <c:axId val="1514835024"/>
        <c:axId val="1499338384"/>
      </c:lineChart>
      <c:catAx>
        <c:axId val="151483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38384"/>
        <c:crosses val="autoZero"/>
        <c:auto val="1"/>
        <c:lblAlgn val="ctr"/>
        <c:lblOffset val="100"/>
        <c:noMultiLvlLbl val="0"/>
      </c:catAx>
      <c:valAx>
        <c:axId val="1499338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CO₂ Concentration During Adsorption </a:t>
            </a:r>
          </a:p>
          <a:p>
            <a:pPr>
              <a:defRPr/>
            </a:pPr>
            <a:r>
              <a:rPr lang="en-GB" b="1"/>
              <a:t>Run 2 </a:t>
            </a:r>
            <a:r>
              <a:rPr lang="th-TH" b="1"/>
              <a:t>(</a:t>
            </a:r>
            <a:r>
              <a:rPr lang="en-US" b="1"/>
              <a:t>UAE</a:t>
            </a:r>
            <a:r>
              <a:rPr lang="th-TH" b="1"/>
              <a:t>)</a:t>
            </a:r>
            <a:r>
              <a:rPr lang="en-US" b="1"/>
              <a:t> 1st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Flue Gas Inlet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Results'!$V$3:$V$12</c:f>
              <c:numCache>
                <c:formatCode>0.00</c:formatCode>
                <c:ptCount val="10"/>
                <c:pt idx="0">
                  <c:v>14.29</c:v>
                </c:pt>
                <c:pt idx="1">
                  <c:v>14.4</c:v>
                </c:pt>
                <c:pt idx="2">
                  <c:v>14.2</c:v>
                </c:pt>
                <c:pt idx="3">
                  <c:v>13.8</c:v>
                </c:pt>
                <c:pt idx="4">
                  <c:v>13.95</c:v>
                </c:pt>
                <c:pt idx="5">
                  <c:v>14.03</c:v>
                </c:pt>
                <c:pt idx="6">
                  <c:v>14.25</c:v>
                </c:pt>
                <c:pt idx="7">
                  <c:v>14.35</c:v>
                </c:pt>
                <c:pt idx="8">
                  <c:v>14.21</c:v>
                </c:pt>
                <c:pt idx="9">
                  <c:v>14.06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E-49DF-935C-7AF1BA8A1CF2}"/>
            </c:ext>
          </c:extLst>
        </c:ser>
        <c:ser>
          <c:idx val="1"/>
          <c:order val="1"/>
          <c:tx>
            <c:v>Reactor Effluent</c:v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Results'!$V$16:$V$25</c:f>
              <c:numCache>
                <c:formatCode>0.00</c:formatCode>
                <c:ptCount val="10"/>
                <c:pt idx="0">
                  <c:v>0.04</c:v>
                </c:pt>
                <c:pt idx="1">
                  <c:v>0.04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2E-49DF-935C-7AF1BA8A1C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842016"/>
        <c:axId val="107842496"/>
      </c:lineChart>
      <c:catAx>
        <c:axId val="10784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496"/>
        <c:crosses val="autoZero"/>
        <c:auto val="1"/>
        <c:lblAlgn val="ctr"/>
        <c:lblOffset val="100"/>
        <c:noMultiLvlLbl val="0"/>
      </c:catAx>
      <c:valAx>
        <c:axId val="1078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UAE Concentration Regen  (Vol%)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Concentration 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'UAE Results'!$I$29:$I$38</c:f>
              <c:numCache>
                <c:formatCode>0.00</c:formatCode>
                <c:ptCount val="10"/>
                <c:pt idx="0">
                  <c:v>97.4</c:v>
                </c:pt>
                <c:pt idx="1">
                  <c:v>95</c:v>
                </c:pt>
                <c:pt idx="2">
                  <c:v>78.239999999999995</c:v>
                </c:pt>
                <c:pt idx="3">
                  <c:v>49.15</c:v>
                </c:pt>
                <c:pt idx="4">
                  <c:v>29.69</c:v>
                </c:pt>
                <c:pt idx="5">
                  <c:v>24.42</c:v>
                </c:pt>
                <c:pt idx="6">
                  <c:v>23.1</c:v>
                </c:pt>
                <c:pt idx="7">
                  <c:v>23.07</c:v>
                </c:pt>
                <c:pt idx="8">
                  <c:v>47.73</c:v>
                </c:pt>
                <c:pt idx="9">
                  <c:v>71.03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8-4407-8013-B98098DD99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dropLines>
        <c:marker val="1"/>
        <c:smooth val="0"/>
        <c:axId val="1514835024"/>
        <c:axId val="1499338384"/>
      </c:lineChart>
      <c:catAx>
        <c:axId val="151483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38384"/>
        <c:crosses val="autoZero"/>
        <c:auto val="1"/>
        <c:lblAlgn val="ctr"/>
        <c:lblOffset val="100"/>
        <c:noMultiLvlLbl val="0"/>
      </c:catAx>
      <c:valAx>
        <c:axId val="1499338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CO₂ Concentration During Adsorption </a:t>
            </a:r>
          </a:p>
          <a:p>
            <a:pPr>
              <a:defRPr/>
            </a:pPr>
            <a:r>
              <a:rPr lang="en-GB" b="1"/>
              <a:t>Run 1 </a:t>
            </a:r>
            <a:r>
              <a:rPr lang="th-TH" b="1"/>
              <a:t>(</a:t>
            </a:r>
            <a:r>
              <a:rPr lang="en-US" b="1"/>
              <a:t>UAE</a:t>
            </a:r>
            <a:r>
              <a:rPr lang="th-TH" b="1"/>
              <a:t>)</a:t>
            </a:r>
            <a:r>
              <a:rPr lang="en-US" b="1"/>
              <a:t> 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Flue Gas Inlet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Results'!$I$3:$I$12</c:f>
              <c:numCache>
                <c:formatCode>0.00</c:formatCode>
                <c:ptCount val="10"/>
                <c:pt idx="0">
                  <c:v>16.64</c:v>
                </c:pt>
                <c:pt idx="1">
                  <c:v>17.02</c:v>
                </c:pt>
                <c:pt idx="2">
                  <c:v>17.39</c:v>
                </c:pt>
                <c:pt idx="3">
                  <c:v>17.53</c:v>
                </c:pt>
                <c:pt idx="4">
                  <c:v>16.940000000000001</c:v>
                </c:pt>
                <c:pt idx="5">
                  <c:v>16.690000000000001</c:v>
                </c:pt>
                <c:pt idx="6">
                  <c:v>17.02</c:v>
                </c:pt>
                <c:pt idx="7">
                  <c:v>17.350000000000001</c:v>
                </c:pt>
                <c:pt idx="8">
                  <c:v>17.52</c:v>
                </c:pt>
                <c:pt idx="9">
                  <c:v>17.22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4-4DFF-90AC-8C836C7C92A9}"/>
            </c:ext>
          </c:extLst>
        </c:ser>
        <c:ser>
          <c:idx val="1"/>
          <c:order val="1"/>
          <c:tx>
            <c:v>Reactor Effluent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Results'!$I$16:$I$25</c:f>
              <c:numCache>
                <c:formatCode>0.00</c:formatCode>
                <c:ptCount val="10"/>
                <c:pt idx="0">
                  <c:v>13.57</c:v>
                </c:pt>
                <c:pt idx="1">
                  <c:v>14.04</c:v>
                </c:pt>
                <c:pt idx="2">
                  <c:v>14.43</c:v>
                </c:pt>
                <c:pt idx="3">
                  <c:v>14.74</c:v>
                </c:pt>
                <c:pt idx="4">
                  <c:v>14.96</c:v>
                </c:pt>
                <c:pt idx="5">
                  <c:v>15.12</c:v>
                </c:pt>
                <c:pt idx="6">
                  <c:v>15.29</c:v>
                </c:pt>
                <c:pt idx="7">
                  <c:v>15.44</c:v>
                </c:pt>
                <c:pt idx="8">
                  <c:v>15.59</c:v>
                </c:pt>
                <c:pt idx="9">
                  <c:v>15.73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4-4DFF-90AC-8C836C7C92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842016"/>
        <c:axId val="107842496"/>
      </c:lineChart>
      <c:catAx>
        <c:axId val="10784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496"/>
        <c:crosses val="autoZero"/>
        <c:auto val="1"/>
        <c:lblAlgn val="ctr"/>
        <c:lblOffset val="100"/>
        <c:noMultiLvlLbl val="0"/>
      </c:catAx>
      <c:valAx>
        <c:axId val="1078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UAE Concentration Regen  (Vol%)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Concentration 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'UAE Results'!$AY$29:$AY$38</c:f>
              <c:numCache>
                <c:formatCode>0.00</c:formatCode>
                <c:ptCount val="10"/>
                <c:pt idx="0">
                  <c:v>185.73</c:v>
                </c:pt>
                <c:pt idx="1">
                  <c:v>179.69</c:v>
                </c:pt>
                <c:pt idx="2">
                  <c:v>187.64</c:v>
                </c:pt>
                <c:pt idx="3">
                  <c:v>189.43</c:v>
                </c:pt>
                <c:pt idx="4">
                  <c:v>188.86</c:v>
                </c:pt>
                <c:pt idx="5">
                  <c:v>184.73</c:v>
                </c:pt>
                <c:pt idx="6">
                  <c:v>174.14</c:v>
                </c:pt>
                <c:pt idx="7">
                  <c:v>155.1</c:v>
                </c:pt>
                <c:pt idx="8">
                  <c:v>135.16999999999999</c:v>
                </c:pt>
                <c:pt idx="9">
                  <c:v>120.42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0-44F4-945D-D128CF5F28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dropLines>
        <c:marker val="1"/>
        <c:smooth val="0"/>
        <c:axId val="1514835024"/>
        <c:axId val="1499338384"/>
      </c:lineChart>
      <c:catAx>
        <c:axId val="151483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38384"/>
        <c:crosses val="autoZero"/>
        <c:auto val="1"/>
        <c:lblAlgn val="ctr"/>
        <c:lblOffset val="100"/>
        <c:noMultiLvlLbl val="0"/>
      </c:catAx>
      <c:valAx>
        <c:axId val="1499338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CO₂ Concentration During Adsorption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Flue Gas Inlet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Results'!$AY$3:$AY$12</c:f>
              <c:numCache>
                <c:formatCode>0.00</c:formatCode>
                <c:ptCount val="10"/>
                <c:pt idx="0">
                  <c:v>14.66</c:v>
                </c:pt>
                <c:pt idx="1">
                  <c:v>14.66</c:v>
                </c:pt>
                <c:pt idx="2">
                  <c:v>14.79</c:v>
                </c:pt>
                <c:pt idx="3">
                  <c:v>14.54</c:v>
                </c:pt>
                <c:pt idx="4">
                  <c:v>14.6</c:v>
                </c:pt>
                <c:pt idx="5">
                  <c:v>14.45</c:v>
                </c:pt>
                <c:pt idx="6">
                  <c:v>14.32</c:v>
                </c:pt>
                <c:pt idx="7">
                  <c:v>14.36</c:v>
                </c:pt>
                <c:pt idx="8">
                  <c:v>14.55</c:v>
                </c:pt>
                <c:pt idx="9">
                  <c:v>14.55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A-4A1D-9DE0-3E527BA94750}"/>
            </c:ext>
          </c:extLst>
        </c:ser>
        <c:ser>
          <c:idx val="1"/>
          <c:order val="1"/>
          <c:tx>
            <c:v>Reactor Effluent</c:v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Results'!$AY$16:$AY$25</c:f>
              <c:numCache>
                <c:formatCode>0.00</c:formatCode>
                <c:ptCount val="10"/>
                <c:pt idx="0">
                  <c:v>0.3</c:v>
                </c:pt>
                <c:pt idx="1">
                  <c:v>0.28000000000000003</c:v>
                </c:pt>
                <c:pt idx="2">
                  <c:v>0.25</c:v>
                </c:pt>
                <c:pt idx="3">
                  <c:v>0.23</c:v>
                </c:pt>
                <c:pt idx="4">
                  <c:v>0.21</c:v>
                </c:pt>
                <c:pt idx="5">
                  <c:v>0.2</c:v>
                </c:pt>
                <c:pt idx="6">
                  <c:v>0.18</c:v>
                </c:pt>
                <c:pt idx="7">
                  <c:v>0.16</c:v>
                </c:pt>
                <c:pt idx="8">
                  <c:v>0.15</c:v>
                </c:pt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A-4A1D-9DE0-3E527BA9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42016"/>
        <c:axId val="107842496"/>
      </c:lineChart>
      <c:catAx>
        <c:axId val="10784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Minutes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496"/>
        <c:crosses val="autoZero"/>
        <c:auto val="1"/>
        <c:lblAlgn val="ctr"/>
        <c:lblOffset val="100"/>
        <c:noMultiLvlLbl val="0"/>
      </c:catAx>
      <c:valAx>
        <c:axId val="1078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CO2 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UAE Concentration Regen  (Vol%)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Concentration 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'UAE Results'!$BN$29:$BN$38</c:f>
              <c:numCache>
                <c:formatCode>0.00</c:formatCode>
                <c:ptCount val="10"/>
                <c:pt idx="0">
                  <c:v>146.03</c:v>
                </c:pt>
                <c:pt idx="1">
                  <c:v>151.26</c:v>
                </c:pt>
                <c:pt idx="2">
                  <c:v>150.94</c:v>
                </c:pt>
                <c:pt idx="3">
                  <c:v>152.62</c:v>
                </c:pt>
                <c:pt idx="4">
                  <c:v>152.26</c:v>
                </c:pt>
                <c:pt idx="5">
                  <c:v>147.30000000000001</c:v>
                </c:pt>
                <c:pt idx="6">
                  <c:v>154.32</c:v>
                </c:pt>
                <c:pt idx="7">
                  <c:v>137.72999999999999</c:v>
                </c:pt>
                <c:pt idx="8">
                  <c:v>43.91</c:v>
                </c:pt>
                <c:pt idx="9">
                  <c:v>74.37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A-4467-9579-0BA58A1DA1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dropLines>
        <c:marker val="1"/>
        <c:smooth val="0"/>
        <c:axId val="1514835024"/>
        <c:axId val="1499338384"/>
      </c:lineChart>
      <c:catAx>
        <c:axId val="151483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38384"/>
        <c:crosses val="autoZero"/>
        <c:auto val="1"/>
        <c:lblAlgn val="ctr"/>
        <c:lblOffset val="100"/>
        <c:noMultiLvlLbl val="0"/>
      </c:catAx>
      <c:valAx>
        <c:axId val="1499338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CO₂ Concentration During Adsorption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Flue Gas Inlet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Results'!$BN$3:$BN$12</c:f>
              <c:numCache>
                <c:formatCode>0.00</c:formatCode>
                <c:ptCount val="10"/>
                <c:pt idx="0">
                  <c:v>14.16</c:v>
                </c:pt>
                <c:pt idx="1">
                  <c:v>14.15</c:v>
                </c:pt>
                <c:pt idx="2">
                  <c:v>13.99</c:v>
                </c:pt>
                <c:pt idx="3">
                  <c:v>14.16</c:v>
                </c:pt>
                <c:pt idx="4">
                  <c:v>13.88</c:v>
                </c:pt>
                <c:pt idx="5">
                  <c:v>13.91</c:v>
                </c:pt>
                <c:pt idx="6">
                  <c:v>14.05</c:v>
                </c:pt>
                <c:pt idx="7">
                  <c:v>14.13</c:v>
                </c:pt>
                <c:pt idx="8">
                  <c:v>14.29</c:v>
                </c:pt>
                <c:pt idx="9">
                  <c:v>14.33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A-45F6-9A8B-79BB0E3F231E}"/>
            </c:ext>
          </c:extLst>
        </c:ser>
        <c:ser>
          <c:idx val="1"/>
          <c:order val="1"/>
          <c:tx>
            <c:v>Reactor Effluent</c:v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Results'!$BN$16:$BN$25</c:f>
              <c:numCache>
                <c:formatCode>0.00</c:formatCode>
                <c:ptCount val="1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1A-45F6-9A8B-79BB0E3F23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842016"/>
        <c:axId val="107842496"/>
      </c:lineChart>
      <c:catAx>
        <c:axId val="10784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496"/>
        <c:crosses val="autoZero"/>
        <c:auto val="1"/>
        <c:lblAlgn val="ctr"/>
        <c:lblOffset val="100"/>
        <c:noMultiLvlLbl val="0"/>
      </c:catAx>
      <c:valAx>
        <c:axId val="1078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Concentration,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CO₂ Efficiency  by UAE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Results'!$BJ$101:$BJ$110</c:f>
              <c:numCache>
                <c:formatCode>0.00</c:formatCode>
                <c:ptCount val="10"/>
                <c:pt idx="0">
                  <c:v>99.929378531073439</c:v>
                </c:pt>
                <c:pt idx="1">
                  <c:v>99.929328621908127</c:v>
                </c:pt>
                <c:pt idx="2">
                  <c:v>99.928520371694077</c:v>
                </c:pt>
                <c:pt idx="3">
                  <c:v>99.929378531073439</c:v>
                </c:pt>
                <c:pt idx="4">
                  <c:v>99.927953890489917</c:v>
                </c:pt>
                <c:pt idx="5">
                  <c:v>99.928109273903658</c:v>
                </c:pt>
                <c:pt idx="6">
                  <c:v>99.928825622775804</c:v>
                </c:pt>
                <c:pt idx="7">
                  <c:v>99.929228591648979</c:v>
                </c:pt>
                <c:pt idx="8">
                  <c:v>99.930020993701902</c:v>
                </c:pt>
                <c:pt idx="9">
                  <c:v>99.930216329378936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1-4BB8-ABE1-CB3A875176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80253183"/>
        <c:axId val="1279291631"/>
      </c:lineChart>
      <c:catAx>
        <c:axId val="168025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Minutes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rgbClr val="080808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91631"/>
        <c:crosses val="autoZero"/>
        <c:auto val="1"/>
        <c:lblAlgn val="ctr"/>
        <c:lblOffset val="100"/>
        <c:noMultiLvlLbl val="0"/>
      </c:catAx>
      <c:valAx>
        <c:axId val="1279291631"/>
        <c:scaling>
          <c:orientation val="minMax"/>
          <c:max val="101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CO₂ Efficiency, %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rgbClr val="080808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5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CO₂ Efficiency  by UAE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'UAE Results'!$AS$101:$AS$110</c:f>
              <c:numCache>
                <c:formatCode>0.00</c:formatCode>
                <c:ptCount val="10"/>
                <c:pt idx="0">
                  <c:v>97.953615279672576</c:v>
                </c:pt>
                <c:pt idx="1">
                  <c:v>98.090040927694417</c:v>
                </c:pt>
                <c:pt idx="2">
                  <c:v>98.309668695064232</c:v>
                </c:pt>
                <c:pt idx="3">
                  <c:v>98.418156808803303</c:v>
                </c:pt>
                <c:pt idx="4">
                  <c:v>98.561643835616437</c:v>
                </c:pt>
                <c:pt idx="5">
                  <c:v>98.615916955017298</c:v>
                </c:pt>
                <c:pt idx="6">
                  <c:v>98.743016759776538</c:v>
                </c:pt>
                <c:pt idx="7">
                  <c:v>98.885793871866284</c:v>
                </c:pt>
                <c:pt idx="8">
                  <c:v>98.969072164948443</c:v>
                </c:pt>
                <c:pt idx="9">
                  <c:v>99.106529209621982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0-4FB4-B96F-107B353821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80253183"/>
        <c:axId val="1279291631"/>
      </c:lineChart>
      <c:catAx>
        <c:axId val="168025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Minutes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rgbClr val="080808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91631"/>
        <c:crosses val="autoZero"/>
        <c:auto val="1"/>
        <c:lblAlgn val="ctr"/>
        <c:lblOffset val="100"/>
        <c:noMultiLvlLbl val="0"/>
      </c:catAx>
      <c:valAx>
        <c:axId val="1279291631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CO₂ Efficiency, %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rgbClr val="080808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5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</a:t>
            </a:r>
            <a:r>
              <a:rPr lang="en-US" baseline="-25000"/>
              <a:t>2 </a:t>
            </a:r>
            <a:r>
              <a:rPr lang="en-US"/>
              <a:t>Capture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91161472295017"/>
          <c:y val="0.10237237237237239"/>
          <c:w val="0.82619530517558115"/>
          <c:h val="0.74996973351304064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9B0-469D-BC18-E3A15E66663D}"/>
              </c:ext>
            </c:extLst>
          </c:dPt>
          <c:dPt>
            <c:idx val="1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9B0-469D-BC18-E3A15E66663D}"/>
              </c:ext>
            </c:extLst>
          </c:dPt>
          <c:dPt>
            <c:idx val="2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9B0-469D-BC18-E3A15E66663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9B0-469D-BC18-E3A15E66663D}"/>
              </c:ext>
            </c:extLst>
          </c:dPt>
          <c:dPt>
            <c:idx val="4"/>
            <c:invertIfNegative val="1"/>
            <c:bubble3D val="0"/>
            <c:spPr>
              <a:solidFill>
                <a:srgbClr val="9933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9B0-469D-BC18-E3A15E66663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'All Run'!$E$3:$E$7</c:f>
              <c:strCache>
                <c:ptCount val="5"/>
                <c:pt idx="0">
                  <c:v>Run 1 Gen 1</c:v>
                </c:pt>
                <c:pt idx="1">
                  <c:v>Run 2 Gen 1+2</c:v>
                </c:pt>
                <c:pt idx="2">
                  <c:v>Run 3 Zeolite</c:v>
                </c:pt>
                <c:pt idx="3">
                  <c:v>Run 4 Gen 1 + Zeolite</c:v>
                </c:pt>
                <c:pt idx="4">
                  <c:v>Run 5 Gen 1 + Gen 2.2 + Zeolite</c:v>
                </c:pt>
              </c:strCache>
            </c:strRef>
          </c:cat>
          <c:val>
            <c:numRef>
              <c:f>'All Run'!$F$3:$F$7</c:f>
              <c:numCache>
                <c:formatCode>0.00</c:formatCode>
                <c:ptCount val="5"/>
                <c:pt idx="0">
                  <c:v>173.89309790047304</c:v>
                </c:pt>
                <c:pt idx="1">
                  <c:v>164.26488063841526</c:v>
                </c:pt>
                <c:pt idx="2">
                  <c:v>5.8627361403508766</c:v>
                </c:pt>
                <c:pt idx="3">
                  <c:v>65.90408446919723</c:v>
                </c:pt>
                <c:pt idx="4">
                  <c:v>39.874708711466603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19B0-469D-BC18-E3A15E666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513043"/>
        <c:axId val="1314416640"/>
      </c:barChart>
      <c:catAx>
        <c:axId val="3985130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314416640"/>
        <c:crosses val="autoZero"/>
        <c:auto val="1"/>
        <c:lblAlgn val="ctr"/>
        <c:lblOffset val="100"/>
        <c:noMultiLvlLbl val="1"/>
      </c:catAx>
      <c:valAx>
        <c:axId val="1314416640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(Kg)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crossAx val="398513043"/>
        <c:crosses val="max"/>
        <c:crossBetween val="between"/>
        <c:majorUnit val="50"/>
      </c:valAx>
    </c:plotArea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/>
            </a:pPr>
            <a:r>
              <a:rPr lang="en-US"/>
              <a:t> Capture Efficiency (%)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4150540295366837E-2"/>
          <c:y val="0.10714883178286397"/>
          <c:w val="0.93880240079209643"/>
          <c:h val="0.74264847704615733"/>
        </c:manualLayout>
      </c:layout>
      <c:scatterChart>
        <c:scatterStyle val="lineMarker"/>
        <c:varyColors val="1"/>
        <c:ser>
          <c:idx val="0"/>
          <c:order val="0"/>
          <c:tx>
            <c:v>% Capture Run 1</c:v>
          </c:tx>
          <c:spPr>
            <a:ln w="25400">
              <a:noFill/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'Run 1 Gen 1 '!$B$7:$B$36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'Run 1 Gen 1 '!$X$7:$X$36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99.99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99.99</c:v>
                </c:pt>
                <c:pt idx="10">
                  <c:v>99.99</c:v>
                </c:pt>
                <c:pt idx="11">
                  <c:v>99.99</c:v>
                </c:pt>
                <c:pt idx="12">
                  <c:v>100</c:v>
                </c:pt>
                <c:pt idx="13">
                  <c:v>99.99</c:v>
                </c:pt>
                <c:pt idx="14">
                  <c:v>99.97</c:v>
                </c:pt>
                <c:pt idx="15">
                  <c:v>100</c:v>
                </c:pt>
                <c:pt idx="17">
                  <c:v>99.99</c:v>
                </c:pt>
                <c:pt idx="18">
                  <c:v>99.99</c:v>
                </c:pt>
                <c:pt idx="19">
                  <c:v>99.99</c:v>
                </c:pt>
                <c:pt idx="20">
                  <c:v>99.95</c:v>
                </c:pt>
                <c:pt idx="21">
                  <c:v>99.99</c:v>
                </c:pt>
                <c:pt idx="22">
                  <c:v>99.99</c:v>
                </c:pt>
                <c:pt idx="23">
                  <c:v>99.95</c:v>
                </c:pt>
                <c:pt idx="24">
                  <c:v>99.99</c:v>
                </c:pt>
                <c:pt idx="25">
                  <c:v>99.99</c:v>
                </c:pt>
                <c:pt idx="26">
                  <c:v>100</c:v>
                </c:pt>
                <c:pt idx="27">
                  <c:v>100</c:v>
                </c:pt>
                <c:pt idx="28">
                  <c:v>99.98</c:v>
                </c:pt>
                <c:pt idx="29">
                  <c:v>99.99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5-45E2-B4B5-4234485B2169}"/>
            </c:ext>
          </c:extLst>
        </c:ser>
        <c:ser>
          <c:idx val="1"/>
          <c:order val="1"/>
          <c:tx>
            <c:v>% Capture Run 2</c:v>
          </c:tx>
          <c:spPr>
            <a:ln w="25400">
              <a:noFill/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'Run 2 Gen 1+2'!$B$5:$B$42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'Run 2 Gen 1+2'!$O$5:$O$42</c:f>
              <c:numCache>
                <c:formatCode>General</c:formatCode>
                <c:ptCount val="3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99.98</c:v>
                </c:pt>
                <c:pt idx="4">
                  <c:v>99.99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99.38</c:v>
                </c:pt>
                <c:pt idx="12">
                  <c:v>98.9</c:v>
                </c:pt>
                <c:pt idx="13">
                  <c:v>91.65</c:v>
                </c:pt>
                <c:pt idx="14">
                  <c:v>94.4</c:v>
                </c:pt>
                <c:pt idx="15">
                  <c:v>98.95</c:v>
                </c:pt>
                <c:pt idx="16">
                  <c:v>99.7</c:v>
                </c:pt>
                <c:pt idx="17">
                  <c:v>99.8</c:v>
                </c:pt>
                <c:pt idx="18">
                  <c:v>99.69</c:v>
                </c:pt>
                <c:pt idx="19">
                  <c:v>99.76</c:v>
                </c:pt>
                <c:pt idx="20">
                  <c:v>99.84</c:v>
                </c:pt>
                <c:pt idx="21">
                  <c:v>99.77</c:v>
                </c:pt>
                <c:pt idx="22">
                  <c:v>99.69</c:v>
                </c:pt>
                <c:pt idx="23">
                  <c:v>99.82</c:v>
                </c:pt>
                <c:pt idx="24">
                  <c:v>99.9</c:v>
                </c:pt>
                <c:pt idx="25">
                  <c:v>98.91</c:v>
                </c:pt>
                <c:pt idx="26">
                  <c:v>99.64</c:v>
                </c:pt>
                <c:pt idx="27">
                  <c:v>99.74</c:v>
                </c:pt>
                <c:pt idx="28">
                  <c:v>100</c:v>
                </c:pt>
                <c:pt idx="29">
                  <c:v>99.66</c:v>
                </c:pt>
                <c:pt idx="30">
                  <c:v>99.93</c:v>
                </c:pt>
                <c:pt idx="31">
                  <c:v>99.56</c:v>
                </c:pt>
                <c:pt idx="32">
                  <c:v>99.41</c:v>
                </c:pt>
                <c:pt idx="33">
                  <c:v>99.03</c:v>
                </c:pt>
                <c:pt idx="34">
                  <c:v>98.96</c:v>
                </c:pt>
                <c:pt idx="35">
                  <c:v>98.8</c:v>
                </c:pt>
                <c:pt idx="36">
                  <c:v>99.53</c:v>
                </c:pt>
                <c:pt idx="37">
                  <c:v>99.67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55-45E2-B4B5-4234485B2169}"/>
            </c:ext>
          </c:extLst>
        </c:ser>
        <c:ser>
          <c:idx val="2"/>
          <c:order val="2"/>
          <c:tx>
            <c:v>% Capture Run 3</c:v>
          </c:tx>
          <c:spPr>
            <a:ln w="19050">
              <a:noFill/>
            </a:ln>
          </c:spPr>
          <c:marker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'Run 3 Zeolite  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 Zeolite  '!$O$5:$O$7</c:f>
              <c:numCache>
                <c:formatCode>General</c:formatCode>
                <c:ptCount val="3"/>
                <c:pt idx="0">
                  <c:v>99.82</c:v>
                </c:pt>
                <c:pt idx="1">
                  <c:v>95.16</c:v>
                </c:pt>
                <c:pt idx="2">
                  <c:v>99.58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55-45E2-B4B5-4234485B2169}"/>
            </c:ext>
          </c:extLst>
        </c:ser>
        <c:ser>
          <c:idx val="3"/>
          <c:order val="3"/>
          <c:tx>
            <c:v>% Capture Run 4</c:v>
          </c:tx>
          <c:spPr>
            <a:ln w="19050">
              <a:noFill/>
            </a:ln>
          </c:spPr>
          <c:marker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'Run 4 Gen 1 + Zeolite 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'Run 4 Gen 1 + Zeolite '!$O$5:$O$17</c:f>
              <c:numCache>
                <c:formatCode>General</c:formatCode>
                <c:ptCount val="13"/>
                <c:pt idx="0">
                  <c:v>99.95</c:v>
                </c:pt>
                <c:pt idx="1">
                  <c:v>99.76</c:v>
                </c:pt>
                <c:pt idx="2">
                  <c:v>99.73</c:v>
                </c:pt>
                <c:pt idx="3">
                  <c:v>99.83</c:v>
                </c:pt>
                <c:pt idx="4">
                  <c:v>99.9</c:v>
                </c:pt>
                <c:pt idx="5">
                  <c:v>99.87</c:v>
                </c:pt>
                <c:pt idx="6">
                  <c:v>99.9</c:v>
                </c:pt>
                <c:pt idx="7">
                  <c:v>99.84</c:v>
                </c:pt>
                <c:pt idx="8">
                  <c:v>99.79</c:v>
                </c:pt>
                <c:pt idx="9">
                  <c:v>99.88</c:v>
                </c:pt>
                <c:pt idx="10">
                  <c:v>99.73</c:v>
                </c:pt>
                <c:pt idx="11">
                  <c:v>99.74</c:v>
                </c:pt>
                <c:pt idx="12">
                  <c:v>99.85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55-45E2-B4B5-4234485B2169}"/>
            </c:ext>
          </c:extLst>
        </c:ser>
        <c:ser>
          <c:idx val="4"/>
          <c:order val="4"/>
          <c:tx>
            <c:v>% Capture Run 5</c:v>
          </c:tx>
          <c:spPr>
            <a:ln w="19050">
              <a:noFill/>
            </a:ln>
          </c:spPr>
          <c:marker>
            <c:spPr>
              <a:solidFill>
                <a:srgbClr val="993300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xVal>
            <c:numRef>
              <c:f>'Run 5 Gen 1+Gen 2.2+ Zeolite'!$B$5:$B$22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'Run 5 Gen 1+Gen 2.2+ Zeolite'!$O$5:$O$22</c:f>
              <c:numCache>
                <c:formatCode>General</c:formatCode>
                <c:ptCount val="18"/>
                <c:pt idx="0">
                  <c:v>99.65</c:v>
                </c:pt>
                <c:pt idx="1">
                  <c:v>99.5</c:v>
                </c:pt>
                <c:pt idx="2">
                  <c:v>99.8</c:v>
                </c:pt>
                <c:pt idx="3">
                  <c:v>99.92</c:v>
                </c:pt>
                <c:pt idx="4">
                  <c:v>99.55</c:v>
                </c:pt>
                <c:pt idx="5">
                  <c:v>99.65</c:v>
                </c:pt>
                <c:pt idx="6">
                  <c:v>99.37</c:v>
                </c:pt>
                <c:pt idx="7">
                  <c:v>99.53</c:v>
                </c:pt>
                <c:pt idx="8">
                  <c:v>99.1</c:v>
                </c:pt>
                <c:pt idx="9">
                  <c:v>99.18</c:v>
                </c:pt>
                <c:pt idx="10">
                  <c:v>99.18</c:v>
                </c:pt>
                <c:pt idx="11">
                  <c:v>99.43</c:v>
                </c:pt>
                <c:pt idx="12">
                  <c:v>99.2</c:v>
                </c:pt>
                <c:pt idx="13">
                  <c:v>99.09</c:v>
                </c:pt>
                <c:pt idx="14">
                  <c:v>98.54</c:v>
                </c:pt>
                <c:pt idx="15">
                  <c:v>99.2</c:v>
                </c:pt>
                <c:pt idx="16">
                  <c:v>98.38</c:v>
                </c:pt>
                <c:pt idx="17">
                  <c:v>99.46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55-45E2-B4B5-4234485B2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07567"/>
        <c:axId val="1071208760"/>
      </c:scatterChart>
      <c:valAx>
        <c:axId val="147750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71208760"/>
        <c:crosses val="autoZero"/>
        <c:crossBetween val="midCat"/>
      </c:valAx>
      <c:valAx>
        <c:axId val="1071208760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477507567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</a:t>
            </a:r>
            <a:r>
              <a:rPr lang="en-US" baseline="-25000"/>
              <a:t>2</a:t>
            </a:r>
            <a:r>
              <a:rPr lang="en-US"/>
              <a:t> Recovery
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'All Run'!$M$2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C9E-4D8A-9BB1-49DD63310C39}"/>
              </c:ext>
            </c:extLst>
          </c:dPt>
          <c:dPt>
            <c:idx val="1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C9E-4D8A-9BB1-49DD63310C39}"/>
              </c:ext>
            </c:extLst>
          </c:dPt>
          <c:dPt>
            <c:idx val="2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C9E-4D8A-9BB1-49DD63310C39}"/>
              </c:ext>
            </c:extLst>
          </c:dPt>
          <c:dPt>
            <c:idx val="3"/>
            <c:invertIfNegative val="1"/>
            <c:bubble3D val="0"/>
            <c:spPr>
              <a:solidFill>
                <a:srgbClr val="FF33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C9E-4D8A-9BB1-49DD63310C39}"/>
              </c:ext>
            </c:extLst>
          </c:dPt>
          <c:dPt>
            <c:idx val="4"/>
            <c:invertIfNegative val="1"/>
            <c:bubble3D val="0"/>
            <c:spPr>
              <a:solidFill>
                <a:srgbClr val="9933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C9E-4D8A-9BB1-49DD63310C39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LID4096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C9E-4D8A-9BB1-49DD63310C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'All Run'!$L$3:$L$7</c:f>
              <c:strCache>
                <c:ptCount val="5"/>
                <c:pt idx="0">
                  <c:v>Run 1 Gen 1</c:v>
                </c:pt>
                <c:pt idx="1">
                  <c:v>Run 2 Gen 1+2</c:v>
                </c:pt>
                <c:pt idx="2">
                  <c:v>Run 3 Zeolite</c:v>
                </c:pt>
                <c:pt idx="3">
                  <c:v>Run 4 Gen 1 + Zeolite</c:v>
                </c:pt>
                <c:pt idx="4">
                  <c:v>Run 5 Gen 1 + Gen 2.2 + Zeolite</c:v>
                </c:pt>
              </c:strCache>
            </c:strRef>
          </c:cat>
          <c:val>
            <c:numRef>
              <c:f>'All Run'!$M$3:$M$7</c:f>
              <c:numCache>
                <c:formatCode>0.00</c:formatCode>
                <c:ptCount val="5"/>
                <c:pt idx="0">
                  <c:v>15.346524757333331</c:v>
                </c:pt>
                <c:pt idx="1">
                  <c:v>20.349999999999998</c:v>
                </c:pt>
                <c:pt idx="2" formatCode="General">
                  <c:v>1.1600000000000001</c:v>
                </c:pt>
                <c:pt idx="3" formatCode="General">
                  <c:v>15.020000000000001</c:v>
                </c:pt>
                <c:pt idx="4" formatCode="General">
                  <c:v>18.66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CC9E-4D8A-9BB1-49DD63310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7395253"/>
        <c:axId val="391668723"/>
      </c:barChart>
      <c:catAx>
        <c:axId val="159739525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391668723"/>
        <c:crosses val="autoZero"/>
        <c:auto val="1"/>
        <c:lblAlgn val="ctr"/>
        <c:lblOffset val="100"/>
        <c:noMultiLvlLbl val="1"/>
      </c:catAx>
      <c:valAx>
        <c:axId val="391668723"/>
        <c:scaling>
          <c:orientation val="minMax"/>
          <c:max val="2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(Kg)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crossAx val="1597395253"/>
        <c:crosses val="max"/>
        <c:crossBetween val="between"/>
        <c:majorUnit val="5"/>
      </c:valAx>
    </c:plotArea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/>
            </a:pPr>
            <a:r>
              <a:rPr lang="en-US"/>
              <a:t>Recovery (%)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4150540295366837E-2"/>
          <c:y val="0.10714883178286397"/>
          <c:w val="0.93880240079209643"/>
          <c:h val="0.74264847704615733"/>
        </c:manualLayout>
      </c:layout>
      <c:scatterChart>
        <c:scatterStyle val="lineMarker"/>
        <c:varyColors val="1"/>
        <c:ser>
          <c:idx val="0"/>
          <c:order val="0"/>
          <c:tx>
            <c:v>% Recovery Run 1</c:v>
          </c:tx>
          <c:spPr>
            <a:ln w="25400">
              <a:noFill/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'Run 1 Gen 1 '!$B$7:$B$36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'Run 1 Gen 1 '!$AF$7:$AF$36</c:f>
              <c:numCache>
                <c:formatCode>General</c:formatCode>
                <c:ptCount val="30"/>
                <c:pt idx="0">
                  <c:v>5.08</c:v>
                </c:pt>
                <c:pt idx="1">
                  <c:v>2.04</c:v>
                </c:pt>
                <c:pt idx="2">
                  <c:v>6.89</c:v>
                </c:pt>
                <c:pt idx="3">
                  <c:v>5.67</c:v>
                </c:pt>
                <c:pt idx="5">
                  <c:v>24.82</c:v>
                </c:pt>
                <c:pt idx="7">
                  <c:v>16.95</c:v>
                </c:pt>
                <c:pt idx="8">
                  <c:v>9.86</c:v>
                </c:pt>
                <c:pt idx="9">
                  <c:v>6.01</c:v>
                </c:pt>
                <c:pt idx="10">
                  <c:v>12.22</c:v>
                </c:pt>
                <c:pt idx="11">
                  <c:v>11.15</c:v>
                </c:pt>
                <c:pt idx="12">
                  <c:v>8.76</c:v>
                </c:pt>
                <c:pt idx="13">
                  <c:v>13.1</c:v>
                </c:pt>
                <c:pt idx="14">
                  <c:v>19.82</c:v>
                </c:pt>
                <c:pt idx="15">
                  <c:v>5.34</c:v>
                </c:pt>
                <c:pt idx="16">
                  <c:v>0</c:v>
                </c:pt>
                <c:pt idx="17">
                  <c:v>9.76</c:v>
                </c:pt>
                <c:pt idx="18">
                  <c:v>12.97</c:v>
                </c:pt>
                <c:pt idx="19">
                  <c:v>4.46</c:v>
                </c:pt>
                <c:pt idx="20">
                  <c:v>10.97</c:v>
                </c:pt>
                <c:pt idx="21">
                  <c:v>16.079999999999998</c:v>
                </c:pt>
                <c:pt idx="22">
                  <c:v>9.94</c:v>
                </c:pt>
                <c:pt idx="23">
                  <c:v>8.16</c:v>
                </c:pt>
                <c:pt idx="24">
                  <c:v>7.52</c:v>
                </c:pt>
                <c:pt idx="25">
                  <c:v>7.29</c:v>
                </c:pt>
                <c:pt idx="26">
                  <c:v>6.35</c:v>
                </c:pt>
                <c:pt idx="27">
                  <c:v>8.51</c:v>
                </c:pt>
                <c:pt idx="28">
                  <c:v>2.2200000000000002</c:v>
                </c:pt>
                <c:pt idx="29">
                  <c:v>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8-405B-BC9A-426DEC25EFFD}"/>
            </c:ext>
          </c:extLst>
        </c:ser>
        <c:ser>
          <c:idx val="1"/>
          <c:order val="1"/>
          <c:tx>
            <c:v>% Recovery Run 2</c:v>
          </c:tx>
          <c:spPr>
            <a:ln w="25400">
              <a:noFill/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'Run 2 Gen 1+2'!$B$5:$B$42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'Run 2 Gen 1+2'!$U$5:$U$42</c:f>
              <c:numCache>
                <c:formatCode>General</c:formatCode>
                <c:ptCount val="38"/>
                <c:pt idx="0">
                  <c:v>5.61</c:v>
                </c:pt>
                <c:pt idx="1">
                  <c:v>2</c:v>
                </c:pt>
                <c:pt idx="2">
                  <c:v>2.91</c:v>
                </c:pt>
                <c:pt idx="3">
                  <c:v>4.84</c:v>
                </c:pt>
                <c:pt idx="4">
                  <c:v>2.39</c:v>
                </c:pt>
                <c:pt idx="5">
                  <c:v>2.5099999999999998</c:v>
                </c:pt>
                <c:pt idx="6">
                  <c:v>3.8</c:v>
                </c:pt>
                <c:pt idx="7">
                  <c:v>5.62</c:v>
                </c:pt>
                <c:pt idx="8">
                  <c:v>0</c:v>
                </c:pt>
                <c:pt idx="9">
                  <c:v>6.4</c:v>
                </c:pt>
                <c:pt idx="10">
                  <c:v>46.67</c:v>
                </c:pt>
                <c:pt idx="11">
                  <c:v>3.47</c:v>
                </c:pt>
                <c:pt idx="12">
                  <c:v>3.82</c:v>
                </c:pt>
                <c:pt idx="13">
                  <c:v>54.55</c:v>
                </c:pt>
                <c:pt idx="14">
                  <c:v>74.91</c:v>
                </c:pt>
                <c:pt idx="15">
                  <c:v>51.55</c:v>
                </c:pt>
                <c:pt idx="16">
                  <c:v>18.690000000000001</c:v>
                </c:pt>
                <c:pt idx="17">
                  <c:v>12.08</c:v>
                </c:pt>
                <c:pt idx="18">
                  <c:v>16.059999999999999</c:v>
                </c:pt>
                <c:pt idx="19">
                  <c:v>11.98</c:v>
                </c:pt>
                <c:pt idx="20">
                  <c:v>13.66</c:v>
                </c:pt>
                <c:pt idx="21">
                  <c:v>14.87</c:v>
                </c:pt>
                <c:pt idx="22">
                  <c:v>12.91</c:v>
                </c:pt>
                <c:pt idx="23">
                  <c:v>15.08</c:v>
                </c:pt>
                <c:pt idx="24">
                  <c:v>18.850000000000001</c:v>
                </c:pt>
                <c:pt idx="25">
                  <c:v>14.44</c:v>
                </c:pt>
                <c:pt idx="26">
                  <c:v>18.3</c:v>
                </c:pt>
                <c:pt idx="27">
                  <c:v>17.55</c:v>
                </c:pt>
                <c:pt idx="28">
                  <c:v>41.73</c:v>
                </c:pt>
                <c:pt idx="29">
                  <c:v>14.53</c:v>
                </c:pt>
                <c:pt idx="30">
                  <c:v>8.94</c:v>
                </c:pt>
                <c:pt idx="31">
                  <c:v>16.010000000000002</c:v>
                </c:pt>
                <c:pt idx="32">
                  <c:v>30.22</c:v>
                </c:pt>
                <c:pt idx="33">
                  <c:v>98.61</c:v>
                </c:pt>
                <c:pt idx="34">
                  <c:v>44.7</c:v>
                </c:pt>
                <c:pt idx="35">
                  <c:v>72.3</c:v>
                </c:pt>
                <c:pt idx="36">
                  <c:v>26.47</c:v>
                </c:pt>
                <c:pt idx="37">
                  <c:v>56.79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68-405B-BC9A-426DEC25EFFD}"/>
            </c:ext>
          </c:extLst>
        </c:ser>
        <c:ser>
          <c:idx val="2"/>
          <c:order val="2"/>
          <c:tx>
            <c:v>% Recovery Run 3</c:v>
          </c:tx>
          <c:spPr>
            <a:ln w="19050">
              <a:noFill/>
            </a:ln>
          </c:spPr>
          <c:marker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'Run 3 Zeolite  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 Zeolite  '!$U$5:$U$7</c:f>
              <c:numCache>
                <c:formatCode>General</c:formatCode>
                <c:ptCount val="3"/>
                <c:pt idx="0">
                  <c:v>14</c:v>
                </c:pt>
                <c:pt idx="1">
                  <c:v>49.5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68-405B-BC9A-426DEC25EFFD}"/>
            </c:ext>
          </c:extLst>
        </c:ser>
        <c:ser>
          <c:idx val="3"/>
          <c:order val="3"/>
          <c:tx>
            <c:v>% Recovery Run 4</c:v>
          </c:tx>
          <c:spPr>
            <a:ln w="19050">
              <a:noFill/>
            </a:ln>
          </c:spPr>
          <c:marker>
            <c:spPr>
              <a:solidFill>
                <a:srgbClr val="FF3399"/>
              </a:solidFill>
              <a:ln>
                <a:noFill/>
              </a:ln>
            </c:spPr>
          </c:marker>
          <c:xVal>
            <c:numRef>
              <c:f>'Run 4 Gen 1 + Zeolite '!$B$5:$B$17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'Run 4 Gen 1 + Zeolite '!$U$5:$U$17</c:f>
              <c:numCache>
                <c:formatCode>General</c:formatCode>
                <c:ptCount val="13"/>
                <c:pt idx="0">
                  <c:v>15.91</c:v>
                </c:pt>
                <c:pt idx="1">
                  <c:v>0</c:v>
                </c:pt>
                <c:pt idx="2">
                  <c:v>38.85</c:v>
                </c:pt>
                <c:pt idx="3">
                  <c:v>25.13</c:v>
                </c:pt>
                <c:pt idx="4">
                  <c:v>22.56</c:v>
                </c:pt>
                <c:pt idx="5">
                  <c:v>24.75</c:v>
                </c:pt>
                <c:pt idx="6">
                  <c:v>43.03</c:v>
                </c:pt>
                <c:pt idx="7">
                  <c:v>19.5</c:v>
                </c:pt>
                <c:pt idx="8">
                  <c:v>27.84</c:v>
                </c:pt>
                <c:pt idx="9">
                  <c:v>12.38</c:v>
                </c:pt>
                <c:pt idx="10">
                  <c:v>20.32</c:v>
                </c:pt>
                <c:pt idx="11">
                  <c:v>33.67</c:v>
                </c:pt>
                <c:pt idx="12">
                  <c:v>11.59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68-405B-BC9A-426DEC25EFFD}"/>
            </c:ext>
          </c:extLst>
        </c:ser>
        <c:ser>
          <c:idx val="4"/>
          <c:order val="4"/>
          <c:tx>
            <c:v>% Recovery Run 5</c:v>
          </c:tx>
          <c:spPr>
            <a:ln w="19050">
              <a:noFill/>
            </a:ln>
          </c:spPr>
          <c:marker>
            <c:spPr>
              <a:solidFill>
                <a:srgbClr val="993300"/>
              </a:solidFill>
              <a:ln>
                <a:noFill/>
              </a:ln>
            </c:spPr>
          </c:marker>
          <c:xVal>
            <c:numRef>
              <c:f>'Run 5 Gen 1+Gen 2.2+ Zeolite'!$B$5:$B$22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'Run 5 Gen 1+Gen 2.2+ Zeolite'!$U$5:$U$22</c:f>
              <c:numCache>
                <c:formatCode>General</c:formatCode>
                <c:ptCount val="18"/>
                <c:pt idx="0">
                  <c:v>29.92</c:v>
                </c:pt>
                <c:pt idx="1">
                  <c:v>4.7699999999999996</c:v>
                </c:pt>
                <c:pt idx="2">
                  <c:v>24.54</c:v>
                </c:pt>
                <c:pt idx="3">
                  <c:v>22.74</c:v>
                </c:pt>
                <c:pt idx="4">
                  <c:v>29.99</c:v>
                </c:pt>
                <c:pt idx="5">
                  <c:v>24.14</c:v>
                </c:pt>
                <c:pt idx="6">
                  <c:v>145.41999999999999</c:v>
                </c:pt>
                <c:pt idx="7">
                  <c:v>19.47</c:v>
                </c:pt>
                <c:pt idx="8">
                  <c:v>2.59</c:v>
                </c:pt>
                <c:pt idx="9">
                  <c:v>34.58</c:v>
                </c:pt>
                <c:pt idx="10">
                  <c:v>41.4</c:v>
                </c:pt>
                <c:pt idx="11">
                  <c:v>153.59</c:v>
                </c:pt>
                <c:pt idx="12">
                  <c:v>135.31</c:v>
                </c:pt>
                <c:pt idx="13">
                  <c:v>198.84</c:v>
                </c:pt>
                <c:pt idx="14">
                  <c:v>20.85</c:v>
                </c:pt>
                <c:pt idx="15">
                  <c:v>9.36</c:v>
                </c:pt>
                <c:pt idx="16">
                  <c:v>22.72</c:v>
                </c:pt>
                <c:pt idx="17">
                  <c:v>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68-405B-BC9A-426DEC25E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832654"/>
        <c:axId val="1239429063"/>
      </c:scatterChart>
      <c:valAx>
        <c:axId val="1162832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39429063"/>
        <c:crosses val="autoZero"/>
        <c:crossBetween val="midCat"/>
      </c:valAx>
      <c:valAx>
        <c:axId val="1239429063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62832654"/>
        <c:crosses val="autoZero"/>
        <c:crossBetween val="midCat"/>
        <c:majorUnit val="10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Cummulative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8618087814400082"/>
          <c:y val="2.1212121212121213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Operating Hours Cumulative Run 3</c:v>
          </c:tx>
          <c:spPr>
            <a:ln w="28575" cmpd="sng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(2)'!$D$5:$D$7</c:f>
              <c:numCache>
                <c:formatCode>h:mm</c:formatCode>
                <c:ptCount val="3"/>
                <c:pt idx="0">
                  <c:v>0.2048611111111111</c:v>
                </c:pt>
                <c:pt idx="1">
                  <c:v>0.33888888888888885</c:v>
                </c:pt>
                <c:pt idx="2" formatCode="[h]:mm">
                  <c:v>0.5215277777777777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65-4733-86B8-E08030C8C67A}"/>
            </c:ext>
          </c:extLst>
        </c:ser>
        <c:ser>
          <c:idx val="1"/>
          <c:order val="1"/>
          <c:tx>
            <c:v>Operating Hours Cumulative Run 4</c:v>
          </c:tx>
          <c:marker>
            <c:symbol val="none"/>
          </c:marke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(2)'!$D$8:$D$20</c:f>
              <c:numCache>
                <c:formatCode>[h]:mm</c:formatCode>
                <c:ptCount val="13"/>
                <c:pt idx="0">
                  <c:v>0.75694444444444442</c:v>
                </c:pt>
                <c:pt idx="1">
                  <c:v>0.92986111111111103</c:v>
                </c:pt>
                <c:pt idx="2">
                  <c:v>1.1493055555555554</c:v>
                </c:pt>
                <c:pt idx="3">
                  <c:v>1.3479166666666664</c:v>
                </c:pt>
                <c:pt idx="4">
                  <c:v>1.622222222222222</c:v>
                </c:pt>
                <c:pt idx="5">
                  <c:v>1.8784722222222221</c:v>
                </c:pt>
                <c:pt idx="6">
                  <c:v>2.0284722222222222</c:v>
                </c:pt>
                <c:pt idx="7">
                  <c:v>2.2965277777777775</c:v>
                </c:pt>
                <c:pt idx="8">
                  <c:v>2.6208333333333331</c:v>
                </c:pt>
                <c:pt idx="9">
                  <c:v>2.848611111111111</c:v>
                </c:pt>
                <c:pt idx="10">
                  <c:v>3.1118055555555557</c:v>
                </c:pt>
                <c:pt idx="11">
                  <c:v>3.3590277777777779</c:v>
                </c:pt>
                <c:pt idx="12">
                  <c:v>3.59375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65-4733-86B8-E08030C8C67A}"/>
            </c:ext>
          </c:extLst>
        </c:ser>
        <c:ser>
          <c:idx val="2"/>
          <c:order val="2"/>
          <c:tx>
            <c:v>Operating Hours Cumulative Run 5</c:v>
          </c:tx>
          <c:marker>
            <c:symbol val="none"/>
          </c:marker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(2)'!$D$21:$D$38</c:f>
              <c:numCache>
                <c:formatCode>[h]:mm</c:formatCode>
                <c:ptCount val="18"/>
                <c:pt idx="0">
                  <c:v>3.8229166666666665</c:v>
                </c:pt>
                <c:pt idx="1">
                  <c:v>4.09375</c:v>
                </c:pt>
                <c:pt idx="2">
                  <c:v>4.384722222222222</c:v>
                </c:pt>
                <c:pt idx="3">
                  <c:v>4.75</c:v>
                </c:pt>
                <c:pt idx="4">
                  <c:v>5.0666666666666664</c:v>
                </c:pt>
                <c:pt idx="5">
                  <c:v>5.3736111111111109</c:v>
                </c:pt>
                <c:pt idx="6">
                  <c:v>5.6895833333333332</c:v>
                </c:pt>
                <c:pt idx="7">
                  <c:v>5.968055555555555</c:v>
                </c:pt>
                <c:pt idx="8">
                  <c:v>6.2409722222222221</c:v>
                </c:pt>
                <c:pt idx="9">
                  <c:v>6.5673611111111114</c:v>
                </c:pt>
                <c:pt idx="10">
                  <c:v>6.8527777777777779</c:v>
                </c:pt>
                <c:pt idx="11">
                  <c:v>7.1604166666666664</c:v>
                </c:pt>
                <c:pt idx="12">
                  <c:v>7.4305555555555554</c:v>
                </c:pt>
                <c:pt idx="13">
                  <c:v>7.7611111111111111</c:v>
                </c:pt>
                <c:pt idx="14">
                  <c:v>8.0423611111111111</c:v>
                </c:pt>
                <c:pt idx="15">
                  <c:v>8.3020833333333339</c:v>
                </c:pt>
                <c:pt idx="16">
                  <c:v>8.5284722222222236</c:v>
                </c:pt>
                <c:pt idx="17">
                  <c:v>8.5284722222222236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65-4733-86B8-E08030C8C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367449"/>
        <c:axId val="145826630"/>
      </c:scatterChart>
      <c:valAx>
        <c:axId val="1029367449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26630"/>
        <c:crosses val="autoZero"/>
        <c:crossBetween val="midCat"/>
        <c:majorUnit val="1"/>
      </c:valAx>
      <c:valAx>
        <c:axId val="145826630"/>
        <c:scaling>
          <c:orientation val="minMax"/>
          <c:max val="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</a:t>
                </a:r>
                <a:r>
                  <a:rPr lang="en-GB" baseline="0"/>
                  <a:t> of Operation</a:t>
                </a:r>
                <a:endParaRPr lang="en-GB"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29367449"/>
        <c:crosses val="autoZero"/>
        <c:crossBetween val="midCat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Co2 Captured Run 3, 4, and 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  Cumulative (Kg)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v>Co2 Captured Run 3 Cumulative</c:v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(2)'!$N$5:$N$7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4.9565592514619876</c:v>
                </c:pt>
                <c:pt idx="2">
                  <c:v>5.8627361403508766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2-45F2-A7A8-566387C40273}"/>
            </c:ext>
          </c:extLst>
        </c:ser>
        <c:ser>
          <c:idx val="1"/>
          <c:order val="1"/>
          <c:tx>
            <c:v>Co2 Captured Run 4 Cumulative</c:v>
          </c:tx>
          <c:marker>
            <c:symbol val="none"/>
          </c:marke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(2)'!$N$8:$N$20</c:f>
              <c:numCache>
                <c:formatCode>0.00</c:formatCode>
                <c:ptCount val="13"/>
                <c:pt idx="0">
                  <c:v>15.037806947623604</c:v>
                </c:pt>
                <c:pt idx="1">
                  <c:v>17.040400947623603</c:v>
                </c:pt>
                <c:pt idx="2">
                  <c:v>20.231818763008217</c:v>
                </c:pt>
                <c:pt idx="3">
                  <c:v>26.121533163008216</c:v>
                </c:pt>
                <c:pt idx="4">
                  <c:v>31.485901465572319</c:v>
                </c:pt>
                <c:pt idx="5">
                  <c:v>36.858710570334225</c:v>
                </c:pt>
                <c:pt idx="6">
                  <c:v>42.203299566944395</c:v>
                </c:pt>
                <c:pt idx="7">
                  <c:v>48.2534609787091</c:v>
                </c:pt>
                <c:pt idx="8">
                  <c:v>51.666220203198897</c:v>
                </c:pt>
                <c:pt idx="9">
                  <c:v>55.381712203198894</c:v>
                </c:pt>
                <c:pt idx="10">
                  <c:v>60.547821403198895</c:v>
                </c:pt>
                <c:pt idx="11">
                  <c:v>65.893930603198896</c:v>
                </c:pt>
                <c:pt idx="12">
                  <c:v>70.726820609548099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22-45F2-A7A8-566387C40273}"/>
            </c:ext>
          </c:extLst>
        </c:ser>
        <c:ser>
          <c:idx val="2"/>
          <c:order val="2"/>
          <c:tx>
            <c:v>Co2 Captured Run 5 Cumulative</c:v>
          </c:tx>
          <c:marker>
            <c:symbol val="none"/>
          </c:marker>
          <c:xVal>
            <c:numRef>
              <c:f>'Run 3, 4, and 5 (2)'!$B$20:$B$38</c:f>
              <c:numCache>
                <c:formatCode>General</c:formatCode>
                <c:ptCount val="19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</c:numCache>
            </c:numRef>
          </c:xVal>
          <c:yVal>
            <c:numRef>
              <c:f>'Run 3, 4, and 5 (2)'!$N$21:$N$38</c:f>
              <c:numCache>
                <c:formatCode>0.00</c:formatCode>
                <c:ptCount val="18"/>
                <c:pt idx="0">
                  <c:v>74.403736414426149</c:v>
                </c:pt>
                <c:pt idx="1">
                  <c:v>77.985782496477427</c:v>
                </c:pt>
                <c:pt idx="2">
                  <c:v>80.430883277429814</c:v>
                </c:pt>
                <c:pt idx="3">
                  <c:v>86.236064229810765</c:v>
                </c:pt>
                <c:pt idx="4">
                  <c:v>88.387020558492935</c:v>
                </c:pt>
                <c:pt idx="5">
                  <c:v>91.286969082630861</c:v>
                </c:pt>
                <c:pt idx="6">
                  <c:v>93.006068476570249</c:v>
                </c:pt>
                <c:pt idx="7">
                  <c:v>95.573896876570245</c:v>
                </c:pt>
                <c:pt idx="8">
                  <c:v>97.119820876570245</c:v>
                </c:pt>
                <c:pt idx="9">
                  <c:v>99.519893676570248</c:v>
                </c:pt>
                <c:pt idx="10">
                  <c:v>101.57289207657024</c:v>
                </c:pt>
                <c:pt idx="11">
                  <c:v>103.40239180990358</c:v>
                </c:pt>
                <c:pt idx="12">
                  <c:v>104.88046860990357</c:v>
                </c:pt>
                <c:pt idx="13">
                  <c:v>106.88206860990357</c:v>
                </c:pt>
                <c:pt idx="14">
                  <c:v>107.60141500990358</c:v>
                </c:pt>
                <c:pt idx="15">
                  <c:v>108.99027687657025</c:v>
                </c:pt>
                <c:pt idx="16">
                  <c:v>109.82653820990359</c:v>
                </c:pt>
                <c:pt idx="17">
                  <c:v>109.82653820990359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22-45F2-A7A8-566387C40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72841"/>
        <c:axId val="526947075"/>
      </c:scatterChart>
      <c:valAx>
        <c:axId val="199872841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947075"/>
        <c:crosses val="autoZero"/>
        <c:crossBetween val="midCat"/>
        <c:majorUnit val="1"/>
      </c:valAx>
      <c:valAx>
        <c:axId val="526947075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9872841"/>
        <c:crosses val="autoZero"/>
        <c:crossBetween val="midCat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Sorbent Aging - 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CO2 Capture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per Cycle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3104604452463369"/>
          <c:y val="1.948503827418232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Sorbent Aging</c:v>
          </c:tx>
          <c:spPr>
            <a:ln w="28575" cmpd="sng">
              <a:solidFill>
                <a:srgbClr val="0070C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00B05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1.7004474689729786E-2"/>
                  <c:y val="-0.63526791927627002"/>
                </c:manualLayout>
              </c:layout>
              <c:numFmt formatCode="General" sourceLinked="0"/>
            </c:trendlineLbl>
          </c:trendline>
          <c:val>
            <c:numRef>
              <c:f>'Run 3, 4, and 5 (2)'!$M$5:$M$38</c:f>
              <c:numCache>
                <c:formatCode>0.00</c:formatCode>
                <c:ptCount val="34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  <c:pt idx="3">
                  <c:v>9.1750708072727267</c:v>
                </c:pt>
                <c:pt idx="4">
                  <c:v>2.0025939999999998</c:v>
                </c:pt>
                <c:pt idx="5">
                  <c:v>3.1914178153846158</c:v>
                </c:pt>
                <c:pt idx="6">
                  <c:v>5.8897144000000008</c:v>
                </c:pt>
                <c:pt idx="7">
                  <c:v>5.3643683025641025</c:v>
                </c:pt>
                <c:pt idx="8">
                  <c:v>5.3728091047619051</c:v>
                </c:pt>
                <c:pt idx="9">
                  <c:v>5.3445889966101694</c:v>
                </c:pt>
                <c:pt idx="10">
                  <c:v>6.0501614117647051</c:v>
                </c:pt>
                <c:pt idx="11">
                  <c:v>3.412759224489796</c:v>
                </c:pt>
                <c:pt idx="12">
                  <c:v>3.7154920000000002</c:v>
                </c:pt>
                <c:pt idx="13">
                  <c:v>5.1661091999999993</c:v>
                </c:pt>
                <c:pt idx="14">
                  <c:v>5.3461091999999999</c:v>
                </c:pt>
                <c:pt idx="15">
                  <c:v>4.8328900063492064</c:v>
                </c:pt>
                <c:pt idx="16">
                  <c:v>3.6769158048780488</c:v>
                </c:pt>
                <c:pt idx="17">
                  <c:v>3.5820460820512823</c:v>
                </c:pt>
                <c:pt idx="18">
                  <c:v>2.445100780952381</c:v>
                </c:pt>
                <c:pt idx="19">
                  <c:v>5.8051809523809519</c:v>
                </c:pt>
                <c:pt idx="20">
                  <c:v>2.1509563286821707</c:v>
                </c:pt>
                <c:pt idx="21">
                  <c:v>2.899948524137931</c:v>
                </c:pt>
                <c:pt idx="22">
                  <c:v>1.7190993939393939</c:v>
                </c:pt>
                <c:pt idx="23">
                  <c:v>2.5678284000000002</c:v>
                </c:pt>
                <c:pt idx="24">
                  <c:v>1.5459240000000001</c:v>
                </c:pt>
                <c:pt idx="25">
                  <c:v>2.4000727999999998</c:v>
                </c:pt>
                <c:pt idx="26">
                  <c:v>2.0529983999999999</c:v>
                </c:pt>
                <c:pt idx="27">
                  <c:v>1.8294997333333334</c:v>
                </c:pt>
                <c:pt idx="28">
                  <c:v>1.4780768</c:v>
                </c:pt>
                <c:pt idx="29">
                  <c:v>2.0015999999999998</c:v>
                </c:pt>
                <c:pt idx="30">
                  <c:v>0.71934639999999994</c:v>
                </c:pt>
                <c:pt idx="31">
                  <c:v>1.3888618666666666</c:v>
                </c:pt>
                <c:pt idx="32">
                  <c:v>0.8362613333333333</c:v>
                </c:pt>
                <c:pt idx="3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DB-4B4C-A89C-7F77D238A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31659"/>
        <c:axId val="1699891824"/>
      </c:lineChart>
      <c:catAx>
        <c:axId val="72373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9891824"/>
        <c:crosses val="autoZero"/>
        <c:auto val="1"/>
        <c:lblAlgn val="ctr"/>
        <c:lblOffset val="100"/>
        <c:noMultiLvlLbl val="1"/>
      </c:catAx>
      <c:valAx>
        <c:axId val="169989182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Catptured,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2373165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Capture Efficiency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41263500048605029"/>
          <c:y val="4.25208807896734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058909303003793E-2"/>
          <c:y val="0.19769172361427489"/>
          <c:w val="0.90633615242539123"/>
          <c:h val="0.62858488930341561"/>
        </c:manualLayout>
      </c:layout>
      <c:scatterChart>
        <c:scatterStyle val="lineMarker"/>
        <c:varyColors val="0"/>
        <c:ser>
          <c:idx val="0"/>
          <c:order val="0"/>
          <c:tx>
            <c:v>% Captured Efficiency Run 3</c:v>
          </c:tx>
          <c:spPr>
            <a:ln w="25400">
              <a:noFill/>
            </a:ln>
          </c:spP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(2)'!$O$5:$O$7</c:f>
              <c:numCache>
                <c:formatCode>General</c:formatCode>
                <c:ptCount val="3"/>
                <c:pt idx="0">
                  <c:v>99.82</c:v>
                </c:pt>
                <c:pt idx="1">
                  <c:v>95.16</c:v>
                </c:pt>
                <c:pt idx="2">
                  <c:v>99.58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6-4331-A0D9-074D9A8C1DE9}"/>
            </c:ext>
          </c:extLst>
        </c:ser>
        <c:ser>
          <c:idx val="1"/>
          <c:order val="1"/>
          <c:tx>
            <c:v>% Captured Efficiency Run 4</c:v>
          </c:tx>
          <c:spPr>
            <a:ln w="19050">
              <a:noFill/>
            </a:ln>
          </c:spP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(2)'!$O$8:$O$20</c:f>
              <c:numCache>
                <c:formatCode>General</c:formatCode>
                <c:ptCount val="13"/>
                <c:pt idx="0">
                  <c:v>99.95</c:v>
                </c:pt>
                <c:pt idx="1">
                  <c:v>99.63</c:v>
                </c:pt>
                <c:pt idx="2">
                  <c:v>99.73</c:v>
                </c:pt>
                <c:pt idx="3">
                  <c:v>99.83</c:v>
                </c:pt>
                <c:pt idx="4">
                  <c:v>99.9</c:v>
                </c:pt>
                <c:pt idx="5">
                  <c:v>99.87</c:v>
                </c:pt>
                <c:pt idx="6">
                  <c:v>99.9</c:v>
                </c:pt>
                <c:pt idx="7">
                  <c:v>99.84</c:v>
                </c:pt>
                <c:pt idx="8">
                  <c:v>99.79</c:v>
                </c:pt>
                <c:pt idx="9">
                  <c:v>99.88</c:v>
                </c:pt>
                <c:pt idx="10">
                  <c:v>99.73</c:v>
                </c:pt>
                <c:pt idx="11">
                  <c:v>99.74</c:v>
                </c:pt>
                <c:pt idx="12">
                  <c:v>99.85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6-4331-A0D9-074D9A8C1DE9}"/>
            </c:ext>
          </c:extLst>
        </c:ser>
        <c:ser>
          <c:idx val="2"/>
          <c:order val="2"/>
          <c:tx>
            <c:v>% Captured Efficiency Run 5</c:v>
          </c:tx>
          <c:spPr>
            <a:ln w="19050">
              <a:noFill/>
            </a:ln>
          </c:spPr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(2)'!$O$21:$O$38</c:f>
              <c:numCache>
                <c:formatCode>General</c:formatCode>
                <c:ptCount val="18"/>
                <c:pt idx="0">
                  <c:v>99.65</c:v>
                </c:pt>
                <c:pt idx="1">
                  <c:v>99.5</c:v>
                </c:pt>
                <c:pt idx="2">
                  <c:v>99.8</c:v>
                </c:pt>
                <c:pt idx="3">
                  <c:v>99.92</c:v>
                </c:pt>
                <c:pt idx="4">
                  <c:v>99.58</c:v>
                </c:pt>
                <c:pt idx="5">
                  <c:v>99.65</c:v>
                </c:pt>
                <c:pt idx="6">
                  <c:v>99.37</c:v>
                </c:pt>
                <c:pt idx="7">
                  <c:v>99.53</c:v>
                </c:pt>
                <c:pt idx="8">
                  <c:v>99.1</c:v>
                </c:pt>
                <c:pt idx="9">
                  <c:v>99.18</c:v>
                </c:pt>
                <c:pt idx="10">
                  <c:v>99.18</c:v>
                </c:pt>
                <c:pt idx="11">
                  <c:v>99.43</c:v>
                </c:pt>
                <c:pt idx="12">
                  <c:v>99.2</c:v>
                </c:pt>
                <c:pt idx="13">
                  <c:v>99.09</c:v>
                </c:pt>
                <c:pt idx="14">
                  <c:v>98.54</c:v>
                </c:pt>
                <c:pt idx="15">
                  <c:v>99.2</c:v>
                </c:pt>
                <c:pt idx="16">
                  <c:v>98.38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46-4331-A0D9-074D9A8C1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774142"/>
        <c:axId val="1226300464"/>
      </c:scatterChart>
      <c:valAx>
        <c:axId val="803774142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26300464"/>
        <c:crosses val="autoZero"/>
        <c:crossBetween val="midCat"/>
        <c:majorUnit val="1"/>
      </c:valAx>
      <c:valAx>
        <c:axId val="1226300464"/>
        <c:scaling>
          <c:orientation val="minMax"/>
          <c:max val="100"/>
          <c:min val="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Capture Efficiency,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03774142"/>
        <c:crosses val="autoZero"/>
        <c:crossBetween val="midCat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Co2 Recovery Run 5 Cumulative (Kg)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Recovery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'Run 3, 4, and 5 (2)'!$T$5:$T$25</c:f>
              <c:numCache>
                <c:formatCode>General</c:formatCode>
                <c:ptCount val="21"/>
                <c:pt idx="0">
                  <c:v>0.51</c:v>
                </c:pt>
                <c:pt idx="1">
                  <c:v>1.1600000000000001</c:v>
                </c:pt>
                <c:pt idx="2">
                  <c:v>1.1600000000000001</c:v>
                </c:pt>
                <c:pt idx="3">
                  <c:v>2.62</c:v>
                </c:pt>
                <c:pt idx="4">
                  <c:v>2.62</c:v>
                </c:pt>
                <c:pt idx="5">
                  <c:v>3.8600000000000003</c:v>
                </c:pt>
                <c:pt idx="6">
                  <c:v>5.34</c:v>
                </c:pt>
                <c:pt idx="7">
                  <c:v>6.55</c:v>
                </c:pt>
                <c:pt idx="8">
                  <c:v>7.88</c:v>
                </c:pt>
                <c:pt idx="9">
                  <c:v>10.18</c:v>
                </c:pt>
                <c:pt idx="10">
                  <c:v>11.36</c:v>
                </c:pt>
                <c:pt idx="11">
                  <c:v>12.309999999999999</c:v>
                </c:pt>
                <c:pt idx="12">
                  <c:v>12.77</c:v>
                </c:pt>
                <c:pt idx="13">
                  <c:v>13.82</c:v>
                </c:pt>
                <c:pt idx="14">
                  <c:v>15.620000000000001</c:v>
                </c:pt>
                <c:pt idx="15">
                  <c:v>16.18</c:v>
                </c:pt>
                <c:pt idx="16">
                  <c:v>17.28</c:v>
                </c:pt>
                <c:pt idx="17">
                  <c:v>17.630000000000003</c:v>
                </c:pt>
                <c:pt idx="18">
                  <c:v>18.230000000000004</c:v>
                </c:pt>
                <c:pt idx="19">
                  <c:v>19.550000000000004</c:v>
                </c:pt>
                <c:pt idx="20">
                  <c:v>20.150000000000006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E-4AC5-B305-48F8DFF7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3158"/>
        <c:axId val="1398771263"/>
      </c:lineChart>
      <c:catAx>
        <c:axId val="12016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98771263"/>
        <c:crosses val="autoZero"/>
        <c:auto val="1"/>
        <c:lblAlgn val="ctr"/>
        <c:lblOffset val="100"/>
        <c:noMultiLvlLbl val="1"/>
      </c:catAx>
      <c:valAx>
        <c:axId val="1398771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CO2 Captured,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0163158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CO2 Recovery &amp; %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Recovery</a:t>
            </a: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v>CO2 Recovered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'Run 3, 4, and 5 (2)'!$M$5:$M$25</c:f>
              <c:numCache>
                <c:formatCode>0.00</c:formatCode>
                <c:ptCount val="21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  <c:pt idx="3">
                  <c:v>9.1750708072727267</c:v>
                </c:pt>
                <c:pt idx="4">
                  <c:v>2.0025939999999998</c:v>
                </c:pt>
                <c:pt idx="5">
                  <c:v>3.1914178153846158</c:v>
                </c:pt>
                <c:pt idx="6">
                  <c:v>5.8897144000000008</c:v>
                </c:pt>
                <c:pt idx="7">
                  <c:v>5.3643683025641025</c:v>
                </c:pt>
                <c:pt idx="8">
                  <c:v>5.3728091047619051</c:v>
                </c:pt>
                <c:pt idx="9">
                  <c:v>5.3445889966101694</c:v>
                </c:pt>
                <c:pt idx="10">
                  <c:v>6.0501614117647051</c:v>
                </c:pt>
                <c:pt idx="11">
                  <c:v>3.412759224489796</c:v>
                </c:pt>
                <c:pt idx="12">
                  <c:v>3.7154920000000002</c:v>
                </c:pt>
                <c:pt idx="13">
                  <c:v>5.1661091999999993</c:v>
                </c:pt>
                <c:pt idx="14">
                  <c:v>5.3461091999999999</c:v>
                </c:pt>
                <c:pt idx="15">
                  <c:v>4.8328900063492064</c:v>
                </c:pt>
                <c:pt idx="16">
                  <c:v>3.6769158048780488</c:v>
                </c:pt>
                <c:pt idx="17">
                  <c:v>3.5820460820512823</c:v>
                </c:pt>
                <c:pt idx="18">
                  <c:v>2.445100780952381</c:v>
                </c:pt>
                <c:pt idx="19">
                  <c:v>5.8051809523809519</c:v>
                </c:pt>
                <c:pt idx="20">
                  <c:v>2.1509563286821707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0-4FCB-928E-1A999D5F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93424"/>
        <c:axId val="6233125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Co2 Recovery</c:v>
                </c:tx>
                <c:spPr>
                  <a:ln w="28575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'Run 1 Gen 1 '!$AD$7:$AD$36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0.20161057866666754</c:v>
                      </c:pt>
                      <c:pt idx="1">
                        <c:v>0.40322115733333508</c:v>
                      </c:pt>
                      <c:pt idx="2">
                        <c:v>0.88652475733333347</c:v>
                      </c:pt>
                      <c:pt idx="3">
                        <c:v>1.3465247573333334</c:v>
                      </c:pt>
                      <c:pt idx="4">
                        <c:v>1.3465247573333334</c:v>
                      </c:pt>
                      <c:pt idx="5">
                        <c:v>2.7065247573333338</c:v>
                      </c:pt>
                      <c:pt idx="6">
                        <c:v>4.0565247573333334</c:v>
                      </c:pt>
                      <c:pt idx="7">
                        <c:v>5.3965247573333333</c:v>
                      </c:pt>
                      <c:pt idx="8">
                        <c:v>6.0665247573333332</c:v>
                      </c:pt>
                      <c:pt idx="9">
                        <c:v>6.4265247573333335</c:v>
                      </c:pt>
                      <c:pt idx="10">
                        <c:v>7.0465247573333336</c:v>
                      </c:pt>
                      <c:pt idx="11">
                        <c:v>7.7665247573333334</c:v>
                      </c:pt>
                      <c:pt idx="12">
                        <c:v>8.4265247573333326</c:v>
                      </c:pt>
                      <c:pt idx="13">
                        <c:v>9.0665247573333332</c:v>
                      </c:pt>
                      <c:pt idx="14">
                        <c:v>9.7365247573333331</c:v>
                      </c:pt>
                      <c:pt idx="15">
                        <c:v>10.196524757333334</c:v>
                      </c:pt>
                      <c:pt idx="16">
                        <c:v>10.566524757333333</c:v>
                      </c:pt>
                      <c:pt idx="17">
                        <c:v>11.156524757333333</c:v>
                      </c:pt>
                      <c:pt idx="18">
                        <c:v>11.786524757333334</c:v>
                      </c:pt>
                      <c:pt idx="19">
                        <c:v>12.226524757333333</c:v>
                      </c:pt>
                      <c:pt idx="20">
                        <c:v>12.676524757333333</c:v>
                      </c:pt>
                      <c:pt idx="21">
                        <c:v>13.216524757333332</c:v>
                      </c:pt>
                      <c:pt idx="22">
                        <c:v>13.776524757333332</c:v>
                      </c:pt>
                      <c:pt idx="23">
                        <c:v>14.026524757333332</c:v>
                      </c:pt>
                      <c:pt idx="24">
                        <c:v>14.246524757333333</c:v>
                      </c:pt>
                      <c:pt idx="25">
                        <c:v>14.476524757333333</c:v>
                      </c:pt>
                      <c:pt idx="26">
                        <c:v>14.676524757333333</c:v>
                      </c:pt>
                      <c:pt idx="27">
                        <c:v>14.946524757333332</c:v>
                      </c:pt>
                      <c:pt idx="28">
                        <c:v>15.146524757333331</c:v>
                      </c:pt>
                      <c:pt idx="29">
                        <c:v>15.346524757333331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130-4FCB-928E-1A999D5FB422}"/>
                  </c:ext>
                </c:extLst>
              </c15:ser>
            </c15:filteredLineSeries>
          </c:ext>
        </c:extLst>
      </c:lineChart>
      <c:lineChart>
        <c:grouping val="standard"/>
        <c:varyColors val="1"/>
        <c:ser>
          <c:idx val="2"/>
          <c:order val="2"/>
          <c:tx>
            <c:v>% Recovery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</c:spPr>
          </c:marker>
          <c:val>
            <c:numRef>
              <c:f>'Run 3, 4, and 5 (2)'!$U$5:$U$25</c:f>
              <c:numCache>
                <c:formatCode>General</c:formatCode>
                <c:ptCount val="21"/>
                <c:pt idx="0">
                  <c:v>14</c:v>
                </c:pt>
                <c:pt idx="1">
                  <c:v>4.7699999999999996</c:v>
                </c:pt>
                <c:pt idx="2">
                  <c:v>0</c:v>
                </c:pt>
                <c:pt idx="3">
                  <c:v>15.91</c:v>
                </c:pt>
                <c:pt idx="4">
                  <c:v>0</c:v>
                </c:pt>
                <c:pt idx="5">
                  <c:v>38.85</c:v>
                </c:pt>
                <c:pt idx="6">
                  <c:v>25.13</c:v>
                </c:pt>
                <c:pt idx="7">
                  <c:v>22.56</c:v>
                </c:pt>
                <c:pt idx="8">
                  <c:v>24.75</c:v>
                </c:pt>
                <c:pt idx="9">
                  <c:v>43.03</c:v>
                </c:pt>
                <c:pt idx="10">
                  <c:v>19.5</c:v>
                </c:pt>
                <c:pt idx="11">
                  <c:v>27.84</c:v>
                </c:pt>
                <c:pt idx="12">
                  <c:v>12.38</c:v>
                </c:pt>
                <c:pt idx="13">
                  <c:v>20.32</c:v>
                </c:pt>
                <c:pt idx="14">
                  <c:v>33.67</c:v>
                </c:pt>
                <c:pt idx="15">
                  <c:v>11.59</c:v>
                </c:pt>
                <c:pt idx="16">
                  <c:v>29.92</c:v>
                </c:pt>
                <c:pt idx="17">
                  <c:v>9.77</c:v>
                </c:pt>
                <c:pt idx="18">
                  <c:v>24.54</c:v>
                </c:pt>
                <c:pt idx="19">
                  <c:v>22.74</c:v>
                </c:pt>
                <c:pt idx="20">
                  <c:v>27.89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0-4FCB-928E-1A999D5F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7744"/>
        <c:axId val="1615844480"/>
      </c:lineChart>
      <c:catAx>
        <c:axId val="137869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23312530"/>
        <c:crosses val="autoZero"/>
        <c:auto val="1"/>
        <c:lblAlgn val="ctr"/>
        <c:lblOffset val="100"/>
        <c:noMultiLvlLbl val="1"/>
      </c:catAx>
      <c:valAx>
        <c:axId val="623312530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</a:t>
                </a:r>
                <a:r>
                  <a:rPr lang="en-GB" baseline="0"/>
                  <a:t> Recovered, kg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78693424"/>
        <c:crosses val="autoZero"/>
        <c:crossBetween val="between"/>
      </c:valAx>
      <c:valAx>
        <c:axId val="16158444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Recovery of CO2,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77744"/>
        <c:crosses val="max"/>
        <c:crossBetween val="between"/>
      </c:valAx>
      <c:catAx>
        <c:axId val="3437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8444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 Recovery</a:t>
            </a:r>
            <a:br>
              <a:rPr lang="en-GB" sz="1400" b="1" i="0">
                <a:solidFill>
                  <a:sysClr val="windowText" lastClr="000000"/>
                </a:solidFill>
                <a:latin typeface="+mn-lt"/>
              </a:rPr>
            </a:b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% Recovery Run 3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(2)'!$U$5:$U$7</c:f>
              <c:numCache>
                <c:formatCode>General</c:formatCode>
                <c:ptCount val="3"/>
                <c:pt idx="0">
                  <c:v>14</c:v>
                </c:pt>
                <c:pt idx="1">
                  <c:v>4.7699999999999996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70-4C7C-A1D1-1ACB332215E1}"/>
            </c:ext>
          </c:extLst>
        </c:ser>
        <c:ser>
          <c:idx val="1"/>
          <c:order val="1"/>
          <c:tx>
            <c:v>% Recovery Run 4</c:v>
          </c:tx>
          <c:marker>
            <c:symbol val="none"/>
          </c:marke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(2)'!$U$8:$U$20</c:f>
              <c:numCache>
                <c:formatCode>General</c:formatCode>
                <c:ptCount val="13"/>
                <c:pt idx="0">
                  <c:v>15.91</c:v>
                </c:pt>
                <c:pt idx="1">
                  <c:v>0</c:v>
                </c:pt>
                <c:pt idx="2">
                  <c:v>38.85</c:v>
                </c:pt>
                <c:pt idx="3">
                  <c:v>25.13</c:v>
                </c:pt>
                <c:pt idx="4">
                  <c:v>22.56</c:v>
                </c:pt>
                <c:pt idx="5">
                  <c:v>24.75</c:v>
                </c:pt>
                <c:pt idx="6">
                  <c:v>43.03</c:v>
                </c:pt>
                <c:pt idx="7">
                  <c:v>19.5</c:v>
                </c:pt>
                <c:pt idx="8">
                  <c:v>27.84</c:v>
                </c:pt>
                <c:pt idx="9">
                  <c:v>12.38</c:v>
                </c:pt>
                <c:pt idx="10">
                  <c:v>20.32</c:v>
                </c:pt>
                <c:pt idx="11">
                  <c:v>33.67</c:v>
                </c:pt>
                <c:pt idx="12">
                  <c:v>11.59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70-4C7C-A1D1-1ACB332215E1}"/>
            </c:ext>
          </c:extLst>
        </c:ser>
        <c:ser>
          <c:idx val="2"/>
          <c:order val="2"/>
          <c:tx>
            <c:v>% Recovery Run 5</c:v>
          </c:tx>
          <c:marker>
            <c:symbol val="none"/>
          </c:marker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(2)'!$U$21:$U$38</c:f>
              <c:numCache>
                <c:formatCode>General</c:formatCode>
                <c:ptCount val="18"/>
                <c:pt idx="0">
                  <c:v>29.92</c:v>
                </c:pt>
                <c:pt idx="1">
                  <c:v>9.77</c:v>
                </c:pt>
                <c:pt idx="2">
                  <c:v>24.54</c:v>
                </c:pt>
                <c:pt idx="3">
                  <c:v>22.74</c:v>
                </c:pt>
                <c:pt idx="4">
                  <c:v>27.89</c:v>
                </c:pt>
                <c:pt idx="5">
                  <c:v>24.14</c:v>
                </c:pt>
                <c:pt idx="6">
                  <c:v>145.41999999999999</c:v>
                </c:pt>
                <c:pt idx="7">
                  <c:v>19.47</c:v>
                </c:pt>
                <c:pt idx="8">
                  <c:v>2.59</c:v>
                </c:pt>
                <c:pt idx="9">
                  <c:v>34.58</c:v>
                </c:pt>
                <c:pt idx="10">
                  <c:v>41.4</c:v>
                </c:pt>
                <c:pt idx="11">
                  <c:v>153.59</c:v>
                </c:pt>
                <c:pt idx="12">
                  <c:v>135.31</c:v>
                </c:pt>
                <c:pt idx="13">
                  <c:v>198.84</c:v>
                </c:pt>
                <c:pt idx="14">
                  <c:v>20.85</c:v>
                </c:pt>
                <c:pt idx="15">
                  <c:v>9.36</c:v>
                </c:pt>
                <c:pt idx="16">
                  <c:v>22.72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70-4C7C-A1D1-1ACB33221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210351"/>
        <c:axId val="1138649703"/>
      </c:scatterChart>
      <c:valAx>
        <c:axId val="218210351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38649703"/>
        <c:crosses val="autoZero"/>
        <c:crossBetween val="midCat"/>
        <c:majorUnit val="1"/>
      </c:valAx>
      <c:valAx>
        <c:axId val="1138649703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Recovery,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18210351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CO2 Recovery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Co2 Daily Recovery Run 3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(2)'!$S$5:$S$7</c:f>
              <c:numCache>
                <c:formatCode>General</c:formatCode>
                <c:ptCount val="3"/>
                <c:pt idx="0">
                  <c:v>0.51</c:v>
                </c:pt>
                <c:pt idx="1">
                  <c:v>0.65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75-4D81-8F29-2554C64AAE81}"/>
            </c:ext>
          </c:extLst>
        </c:ser>
        <c:ser>
          <c:idx val="1"/>
          <c:order val="1"/>
          <c:tx>
            <c:v>Co2 Daily Recovery Run 4</c:v>
          </c:tx>
          <c:marker>
            <c:symbol val="none"/>
          </c:marke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(2)'!$S$8:$S$20</c:f>
              <c:numCache>
                <c:formatCode>General</c:formatCode>
                <c:ptCount val="13"/>
                <c:pt idx="0">
                  <c:v>1.46</c:v>
                </c:pt>
                <c:pt idx="1">
                  <c:v>0</c:v>
                </c:pt>
                <c:pt idx="2">
                  <c:v>1.24</c:v>
                </c:pt>
                <c:pt idx="3">
                  <c:v>1.48</c:v>
                </c:pt>
                <c:pt idx="4">
                  <c:v>1.21</c:v>
                </c:pt>
                <c:pt idx="5">
                  <c:v>1.33</c:v>
                </c:pt>
                <c:pt idx="6">
                  <c:v>2.2999999999999998</c:v>
                </c:pt>
                <c:pt idx="7">
                  <c:v>1.18</c:v>
                </c:pt>
                <c:pt idx="8">
                  <c:v>0.95</c:v>
                </c:pt>
                <c:pt idx="9">
                  <c:v>0.46</c:v>
                </c:pt>
                <c:pt idx="10">
                  <c:v>1.05</c:v>
                </c:pt>
                <c:pt idx="11">
                  <c:v>1.8</c:v>
                </c:pt>
                <c:pt idx="12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75-4D81-8F29-2554C64AAE81}"/>
            </c:ext>
          </c:extLst>
        </c:ser>
        <c:ser>
          <c:idx val="2"/>
          <c:order val="2"/>
          <c:tx>
            <c:v>Co2 Daily Recovery Run 5</c:v>
          </c:tx>
          <c:marker>
            <c:symbol val="none"/>
          </c:marker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(2)'!$S$21:$S$38</c:f>
              <c:numCache>
                <c:formatCode>General</c:formatCode>
                <c:ptCount val="18"/>
                <c:pt idx="0">
                  <c:v>1.1000000000000001</c:v>
                </c:pt>
                <c:pt idx="1">
                  <c:v>0.35</c:v>
                </c:pt>
                <c:pt idx="2">
                  <c:v>0.6</c:v>
                </c:pt>
                <c:pt idx="3">
                  <c:v>1.32</c:v>
                </c:pt>
                <c:pt idx="4">
                  <c:v>0.6</c:v>
                </c:pt>
                <c:pt idx="5">
                  <c:v>0.7</c:v>
                </c:pt>
                <c:pt idx="6">
                  <c:v>2.5</c:v>
                </c:pt>
                <c:pt idx="7">
                  <c:v>0.5</c:v>
                </c:pt>
                <c:pt idx="8">
                  <c:v>0.04</c:v>
                </c:pt>
                <c:pt idx="9">
                  <c:v>0.83</c:v>
                </c:pt>
                <c:pt idx="10">
                  <c:v>0.85</c:v>
                </c:pt>
                <c:pt idx="11">
                  <c:v>2.81</c:v>
                </c:pt>
                <c:pt idx="12">
                  <c:v>2</c:v>
                </c:pt>
                <c:pt idx="13">
                  <c:v>3.98</c:v>
                </c:pt>
                <c:pt idx="14">
                  <c:v>0.15</c:v>
                </c:pt>
                <c:pt idx="15">
                  <c:v>0.13</c:v>
                </c:pt>
                <c:pt idx="16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75-4D81-8F29-2554C64A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555217"/>
        <c:axId val="526601337"/>
      </c:scatterChart>
      <c:valAx>
        <c:axId val="633555217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6601337"/>
        <c:crosses val="autoZero"/>
        <c:crossBetween val="midCat"/>
        <c:majorUnit val="1"/>
      </c:valAx>
      <c:valAx>
        <c:axId val="526601337"/>
        <c:scaling>
          <c:orientation val="minMax"/>
          <c:max val="4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Recovery,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33555217"/>
        <c:crosses val="autoZero"/>
        <c:crossBetween val="midCat"/>
        <c:majorUnit val="0.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Operating Hours per Cycle
</a:t>
            </a:r>
            <a:r>
              <a:rPr lang="en-GB" sz="1400" b="1" i="0" u="none" strike="noStrike" kern="1200" baseline="0">
                <a:solidFill>
                  <a:sysClr val="windowText" lastClr="000000"/>
                </a:solidFill>
              </a:rPr>
              <a:t>Run 3, 4, and 5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Run 3 Hours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trendline>
            <c:spPr>
              <a:ln w="25400"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(2)'!$C$5:$C$7</c:f>
              <c:numCache>
                <c:formatCode>h:mm</c:formatCode>
                <c:ptCount val="3"/>
                <c:pt idx="0">
                  <c:v>0.2048611111111111</c:v>
                </c:pt>
                <c:pt idx="1">
                  <c:v>0.13402777777777775</c:v>
                </c:pt>
                <c:pt idx="2">
                  <c:v>0.18263888888888885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93-4110-854F-EAE1D3A12557}"/>
            </c:ext>
          </c:extLst>
        </c:ser>
        <c:ser>
          <c:idx val="1"/>
          <c:order val="1"/>
          <c:tx>
            <c:v>Run 4 Hours</c:v>
          </c:tx>
          <c:marker>
            <c:symbol val="none"/>
          </c:marker>
          <c:trendline>
            <c:spPr>
              <a:ln w="25400"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(2)'!$C$8:$C$20</c:f>
              <c:numCache>
                <c:formatCode>h:mm</c:formatCode>
                <c:ptCount val="13"/>
                <c:pt idx="0">
                  <c:v>0.23541666666666666</c:v>
                </c:pt>
                <c:pt idx="1">
                  <c:v>0.17291666666666661</c:v>
                </c:pt>
                <c:pt idx="2">
                  <c:v>0.21944444444444444</c:v>
                </c:pt>
                <c:pt idx="3">
                  <c:v>0.19861111111111113</c:v>
                </c:pt>
                <c:pt idx="4">
                  <c:v>0.27430555555555558</c:v>
                </c:pt>
                <c:pt idx="5">
                  <c:v>0.25625000000000003</c:v>
                </c:pt>
                <c:pt idx="6">
                  <c:v>0.15000000000000002</c:v>
                </c:pt>
                <c:pt idx="7">
                  <c:v>0.26805555555555549</c:v>
                </c:pt>
                <c:pt idx="8">
                  <c:v>0.32430555555555557</c:v>
                </c:pt>
                <c:pt idx="9">
                  <c:v>0.22777777777777775</c:v>
                </c:pt>
                <c:pt idx="10">
                  <c:v>0.26319444444444451</c:v>
                </c:pt>
                <c:pt idx="11">
                  <c:v>0.24722222222222223</c:v>
                </c:pt>
                <c:pt idx="12">
                  <c:v>0.23472222222222222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93-4110-854F-EAE1D3A12557}"/>
            </c:ext>
          </c:extLst>
        </c:ser>
        <c:ser>
          <c:idx val="2"/>
          <c:order val="2"/>
          <c:tx>
            <c:v>Run 5 Hours</c:v>
          </c:tx>
          <c:marker>
            <c:symbol val="none"/>
          </c:marker>
          <c:trendline>
            <c:spPr>
              <a:ln w="25400"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(2)'!$C$21:$C$38</c:f>
              <c:numCache>
                <c:formatCode>h:mm</c:formatCode>
                <c:ptCount val="18"/>
                <c:pt idx="0">
                  <c:v>0.22916666666666663</c:v>
                </c:pt>
                <c:pt idx="1">
                  <c:v>0.27083333333333331</c:v>
                </c:pt>
                <c:pt idx="2">
                  <c:v>0.29097222222222224</c:v>
                </c:pt>
                <c:pt idx="3">
                  <c:v>0.3652777777777777</c:v>
                </c:pt>
                <c:pt idx="4">
                  <c:v>0.31666666666666665</c:v>
                </c:pt>
                <c:pt idx="5">
                  <c:v>0.30694444444444446</c:v>
                </c:pt>
                <c:pt idx="6">
                  <c:v>0.31597222222222227</c:v>
                </c:pt>
                <c:pt idx="7">
                  <c:v>0.27847222222222223</c:v>
                </c:pt>
                <c:pt idx="8">
                  <c:v>0.2729166666666667</c:v>
                </c:pt>
                <c:pt idx="9">
                  <c:v>0.3263888888888889</c:v>
                </c:pt>
                <c:pt idx="10">
                  <c:v>0.28541666666666671</c:v>
                </c:pt>
                <c:pt idx="11">
                  <c:v>0.30763888888888885</c:v>
                </c:pt>
                <c:pt idx="12">
                  <c:v>0.27013888888888887</c:v>
                </c:pt>
                <c:pt idx="13">
                  <c:v>0.33055555555555555</c:v>
                </c:pt>
                <c:pt idx="14">
                  <c:v>0.28124999999999994</c:v>
                </c:pt>
                <c:pt idx="15">
                  <c:v>0.25972222222222219</c:v>
                </c:pt>
                <c:pt idx="16">
                  <c:v>0.22638888888888892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93-4110-854F-EAE1D3A12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667578"/>
        <c:axId val="1045260324"/>
      </c:scatterChart>
      <c:valAx>
        <c:axId val="1568667578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45260324"/>
        <c:crosses val="autoZero"/>
        <c:crossBetween val="midCat"/>
        <c:majorUnit val="1"/>
      </c:valAx>
      <c:valAx>
        <c:axId val="1045260324"/>
        <c:scaling>
          <c:orientation val="minMax"/>
          <c:max val="0.3700000000000000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Hours of Operation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866757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CO₂ Concentration During Adsorption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Flue Gas Inlet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3, 4, and 5 (2)'!$F$5:$F$25</c:f>
              <c:numCache>
                <c:formatCode>0.00</c:formatCode>
                <c:ptCount val="21"/>
                <c:pt idx="0">
                  <c:v>11.80710526315786</c:v>
                </c:pt>
                <c:pt idx="1">
                  <c:v>12.885238095238131</c:v>
                </c:pt>
                <c:pt idx="2">
                  <c:v>12.929999999999991</c:v>
                </c:pt>
                <c:pt idx="3">
                  <c:v>13</c:v>
                </c:pt>
                <c:pt idx="4">
                  <c:v>12.507884615384622</c:v>
                </c:pt>
                <c:pt idx="5">
                  <c:v>13.014807692307738</c:v>
                </c:pt>
                <c:pt idx="6">
                  <c:v>12.901093750000015</c:v>
                </c:pt>
                <c:pt idx="7">
                  <c:v>12.3900000000001</c:v>
                </c:pt>
                <c:pt idx="8">
                  <c:v>12.488253968254048</c:v>
                </c:pt>
                <c:pt idx="9">
                  <c:v>12.311355932203433</c:v>
                </c:pt>
                <c:pt idx="10">
                  <c:v>12.578529411764729</c:v>
                </c:pt>
                <c:pt idx="11">
                  <c:v>14.550000000000081</c:v>
                </c:pt>
                <c:pt idx="12">
                  <c:v>11.72543478260865</c:v>
                </c:pt>
                <c:pt idx="13">
                  <c:v>11.517101449275415</c:v>
                </c:pt>
                <c:pt idx="14">
                  <c:v>11.372753623188384</c:v>
                </c:pt>
                <c:pt idx="15">
                  <c:v>11.474920634920689</c:v>
                </c:pt>
                <c:pt idx="16">
                  <c:v>11.772439024390208</c:v>
                </c:pt>
                <c:pt idx="17">
                  <c:v>11.000961538461512</c:v>
                </c:pt>
                <c:pt idx="18">
                  <c:v>10.969047619047599</c:v>
                </c:pt>
                <c:pt idx="19">
                  <c:v>19.261904761904766</c:v>
                </c:pt>
                <c:pt idx="20">
                  <c:v>11.988837209302313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BD-4A4A-A267-FCD590991961}"/>
            </c:ext>
          </c:extLst>
        </c:ser>
        <c:ser>
          <c:idx val="1"/>
          <c:order val="1"/>
          <c:tx>
            <c:v>Reactor Effluent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3, 4, and 5 (2)'!$J$5:$J$25</c:f>
              <c:numCache>
                <c:formatCode>0.00</c:formatCode>
                <c:ptCount val="21"/>
                <c:pt idx="0">
                  <c:v>4.8421052631578941E-2</c:v>
                </c:pt>
                <c:pt idx="1">
                  <c:v>0.88952380952380961</c:v>
                </c:pt>
                <c:pt idx="2">
                  <c:v>0.12222222222222225</c:v>
                </c:pt>
                <c:pt idx="3">
                  <c:v>1.2636363636363637E-2</c:v>
                </c:pt>
                <c:pt idx="4">
                  <c:v>3.096153846153846E-2</c:v>
                </c:pt>
                <c:pt idx="5">
                  <c:v>3.865384615384615E-2</c:v>
                </c:pt>
                <c:pt idx="6">
                  <c:v>4.0312499999999994E-2</c:v>
                </c:pt>
                <c:pt idx="7">
                  <c:v>2.5576923076923077E-2</c:v>
                </c:pt>
                <c:pt idx="8">
                  <c:v>2.7619047619047619E-2</c:v>
                </c:pt>
                <c:pt idx="9">
                  <c:v>2.1864406779661019E-2</c:v>
                </c:pt>
                <c:pt idx="10">
                  <c:v>3.9705882352941174E-2</c:v>
                </c:pt>
                <c:pt idx="11">
                  <c:v>2.7551020408163263E-2</c:v>
                </c:pt>
                <c:pt idx="12">
                  <c:v>2.2826086956521739E-2</c:v>
                </c:pt>
                <c:pt idx="13">
                  <c:v>5.2608695652173923E-2</c:v>
                </c:pt>
                <c:pt idx="14">
                  <c:v>5.2608695652173923E-2</c:v>
                </c:pt>
                <c:pt idx="15">
                  <c:v>2.8412698412698414E-2</c:v>
                </c:pt>
                <c:pt idx="16">
                  <c:v>7.170731707317074E-2</c:v>
                </c:pt>
                <c:pt idx="17">
                  <c:v>7.8269230769230758E-2</c:v>
                </c:pt>
                <c:pt idx="18">
                  <c:v>2.5238095238095243E-2</c:v>
                </c:pt>
                <c:pt idx="19">
                  <c:v>2.3809523809523808E-2</c:v>
                </c:pt>
                <c:pt idx="20">
                  <c:v>5.6279069767441861E-2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BD-4A4A-A267-FCD590991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408236"/>
        <c:axId val="1294820600"/>
      </c:lineChart>
      <c:catAx>
        <c:axId val="143540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294820600"/>
        <c:crosses val="autoZero"/>
        <c:auto val="1"/>
        <c:lblAlgn val="ctr"/>
        <c:lblOffset val="100"/>
        <c:noMultiLvlLbl val="1"/>
      </c:catAx>
      <c:valAx>
        <c:axId val="1294820600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 Concentration,</a:t>
                </a:r>
                <a:r>
                  <a:rPr lang="en-GB" baseline="0"/>
                  <a:t> vol%</a:t>
                </a: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35408236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Recovery Run 5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3, 4, and 5 (2)'!$M$5:$M$25</c:f>
              <c:numCache>
                <c:formatCode>0.00</c:formatCode>
                <c:ptCount val="21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  <c:pt idx="3">
                  <c:v>9.1750708072727267</c:v>
                </c:pt>
                <c:pt idx="4">
                  <c:v>2.0025939999999998</c:v>
                </c:pt>
                <c:pt idx="5">
                  <c:v>3.1914178153846158</c:v>
                </c:pt>
                <c:pt idx="6">
                  <c:v>5.8897144000000008</c:v>
                </c:pt>
                <c:pt idx="7">
                  <c:v>5.3643683025641025</c:v>
                </c:pt>
                <c:pt idx="8">
                  <c:v>5.3728091047619051</c:v>
                </c:pt>
                <c:pt idx="9">
                  <c:v>5.3445889966101694</c:v>
                </c:pt>
                <c:pt idx="10">
                  <c:v>6.0501614117647051</c:v>
                </c:pt>
                <c:pt idx="11">
                  <c:v>3.412759224489796</c:v>
                </c:pt>
                <c:pt idx="12">
                  <c:v>3.7154920000000002</c:v>
                </c:pt>
                <c:pt idx="13">
                  <c:v>5.1661091999999993</c:v>
                </c:pt>
                <c:pt idx="14">
                  <c:v>5.3461091999999999</c:v>
                </c:pt>
                <c:pt idx="15">
                  <c:v>4.8328900063492064</c:v>
                </c:pt>
                <c:pt idx="16">
                  <c:v>3.6769158048780488</c:v>
                </c:pt>
                <c:pt idx="17">
                  <c:v>3.5820460820512823</c:v>
                </c:pt>
                <c:pt idx="18">
                  <c:v>2.445100780952381</c:v>
                </c:pt>
                <c:pt idx="19">
                  <c:v>5.8051809523809519</c:v>
                </c:pt>
                <c:pt idx="20">
                  <c:v>2.1509563286821707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3-4467-8FDD-F50AAB014F98}"/>
            </c:ext>
          </c:extLst>
        </c:ser>
        <c:ser>
          <c:idx val="1"/>
          <c:order val="1"/>
          <c:tx>
            <c:v>CO2 Recovery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'Run 3, 4, and 5 (2)'!$S$5:$S$25</c:f>
              <c:numCache>
                <c:formatCode>General</c:formatCode>
                <c:ptCount val="21"/>
                <c:pt idx="0">
                  <c:v>0.51</c:v>
                </c:pt>
                <c:pt idx="1">
                  <c:v>0.65</c:v>
                </c:pt>
                <c:pt idx="2">
                  <c:v>0</c:v>
                </c:pt>
                <c:pt idx="3">
                  <c:v>1.46</c:v>
                </c:pt>
                <c:pt idx="4">
                  <c:v>0</c:v>
                </c:pt>
                <c:pt idx="5">
                  <c:v>1.24</c:v>
                </c:pt>
                <c:pt idx="6">
                  <c:v>1.48</c:v>
                </c:pt>
                <c:pt idx="7">
                  <c:v>1.21</c:v>
                </c:pt>
                <c:pt idx="8">
                  <c:v>1.33</c:v>
                </c:pt>
                <c:pt idx="9">
                  <c:v>2.2999999999999998</c:v>
                </c:pt>
                <c:pt idx="10">
                  <c:v>1.18</c:v>
                </c:pt>
                <c:pt idx="11">
                  <c:v>0.95</c:v>
                </c:pt>
                <c:pt idx="12">
                  <c:v>0.46</c:v>
                </c:pt>
                <c:pt idx="13">
                  <c:v>1.05</c:v>
                </c:pt>
                <c:pt idx="14">
                  <c:v>1.8</c:v>
                </c:pt>
                <c:pt idx="15">
                  <c:v>0.56000000000000005</c:v>
                </c:pt>
                <c:pt idx="16">
                  <c:v>1.1000000000000001</c:v>
                </c:pt>
                <c:pt idx="17">
                  <c:v>0.35</c:v>
                </c:pt>
                <c:pt idx="18">
                  <c:v>0.6</c:v>
                </c:pt>
                <c:pt idx="19">
                  <c:v>1.32</c:v>
                </c:pt>
                <c:pt idx="2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3-4467-8FDD-F50AAB014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3311"/>
        <c:axId val="186132515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CO2 Captured &amp; Recovery,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CO2</a:t>
            </a:r>
            <a:r>
              <a:rPr lang="en-US" b="1" baseline="0">
                <a:solidFill>
                  <a:sysClr val="windowText" lastClr="000000"/>
                </a:solidFill>
              </a:rPr>
              <a:t> Captured &amp; Concentration flue gas in Run 5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CO2 Captured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'Run 3, 4, and 5 (2)'!$M$5:$M$25</c:f>
              <c:numCache>
                <c:formatCode>0.00</c:formatCode>
                <c:ptCount val="21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  <c:pt idx="3">
                  <c:v>9.1750708072727267</c:v>
                </c:pt>
                <c:pt idx="4">
                  <c:v>2.0025939999999998</c:v>
                </c:pt>
                <c:pt idx="5">
                  <c:v>3.1914178153846158</c:v>
                </c:pt>
                <c:pt idx="6">
                  <c:v>5.8897144000000008</c:v>
                </c:pt>
                <c:pt idx="7">
                  <c:v>5.3643683025641025</c:v>
                </c:pt>
                <c:pt idx="8">
                  <c:v>5.3728091047619051</c:v>
                </c:pt>
                <c:pt idx="9">
                  <c:v>5.3445889966101694</c:v>
                </c:pt>
                <c:pt idx="10">
                  <c:v>6.0501614117647051</c:v>
                </c:pt>
                <c:pt idx="11">
                  <c:v>3.412759224489796</c:v>
                </c:pt>
                <c:pt idx="12">
                  <c:v>3.7154920000000002</c:v>
                </c:pt>
                <c:pt idx="13">
                  <c:v>5.1661091999999993</c:v>
                </c:pt>
                <c:pt idx="14">
                  <c:v>5.3461091999999999</c:v>
                </c:pt>
                <c:pt idx="15">
                  <c:v>4.8328900063492064</c:v>
                </c:pt>
                <c:pt idx="16">
                  <c:v>3.6769158048780488</c:v>
                </c:pt>
                <c:pt idx="17">
                  <c:v>3.5820460820512823</c:v>
                </c:pt>
                <c:pt idx="18">
                  <c:v>2.445100780952381</c:v>
                </c:pt>
                <c:pt idx="19">
                  <c:v>5.8051809523809519</c:v>
                </c:pt>
                <c:pt idx="20">
                  <c:v>2.1509563286821707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B-4AFA-ACD6-CFB0AA81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33311"/>
        <c:axId val="1861325151"/>
      </c:lineChart>
      <c:lineChart>
        <c:grouping val="standard"/>
        <c:varyColors val="0"/>
        <c:ser>
          <c:idx val="1"/>
          <c:order val="1"/>
          <c:tx>
            <c:v>Conc flue gas in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'Run 3, 4, and 5 (2)'!$F$5:$F$25</c:f>
              <c:numCache>
                <c:formatCode>0.00</c:formatCode>
                <c:ptCount val="21"/>
                <c:pt idx="0">
                  <c:v>11.80710526315786</c:v>
                </c:pt>
                <c:pt idx="1">
                  <c:v>12.885238095238131</c:v>
                </c:pt>
                <c:pt idx="2">
                  <c:v>12.929999999999991</c:v>
                </c:pt>
                <c:pt idx="3">
                  <c:v>13</c:v>
                </c:pt>
                <c:pt idx="4">
                  <c:v>12.507884615384622</c:v>
                </c:pt>
                <c:pt idx="5">
                  <c:v>13.014807692307738</c:v>
                </c:pt>
                <c:pt idx="6">
                  <c:v>12.901093750000015</c:v>
                </c:pt>
                <c:pt idx="7">
                  <c:v>12.3900000000001</c:v>
                </c:pt>
                <c:pt idx="8">
                  <c:v>12.488253968254048</c:v>
                </c:pt>
                <c:pt idx="9">
                  <c:v>12.311355932203433</c:v>
                </c:pt>
                <c:pt idx="10">
                  <c:v>12.578529411764729</c:v>
                </c:pt>
                <c:pt idx="11">
                  <c:v>14.550000000000081</c:v>
                </c:pt>
                <c:pt idx="12">
                  <c:v>11.72543478260865</c:v>
                </c:pt>
                <c:pt idx="13">
                  <c:v>11.517101449275415</c:v>
                </c:pt>
                <c:pt idx="14">
                  <c:v>11.372753623188384</c:v>
                </c:pt>
                <c:pt idx="15">
                  <c:v>11.474920634920689</c:v>
                </c:pt>
                <c:pt idx="16">
                  <c:v>11.772439024390208</c:v>
                </c:pt>
                <c:pt idx="17">
                  <c:v>11.000961538461512</c:v>
                </c:pt>
                <c:pt idx="18">
                  <c:v>10.969047619047599</c:v>
                </c:pt>
                <c:pt idx="19">
                  <c:v>19.261904761904766</c:v>
                </c:pt>
                <c:pt idx="20">
                  <c:v>11.988837209302313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B-4AFA-ACD6-CFB0AA81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47711"/>
        <c:axId val="1861330911"/>
      </c:lineChart>
      <c:catAx>
        <c:axId val="186133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151"/>
        <c:crosses val="autoZero"/>
        <c:auto val="1"/>
        <c:lblAlgn val="ctr"/>
        <c:lblOffset val="100"/>
        <c:noMultiLvlLbl val="0"/>
      </c:catAx>
      <c:valAx>
        <c:axId val="1861325151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3311"/>
        <c:crosses val="autoZero"/>
        <c:crossBetween val="between"/>
        <c:majorUnit val="2"/>
      </c:valAx>
      <c:valAx>
        <c:axId val="1861330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Conc flue gas inlet, vol%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7711"/>
        <c:crosses val="max"/>
        <c:crossBetween val="between"/>
      </c:valAx>
      <c:catAx>
        <c:axId val="1861347711"/>
        <c:scaling>
          <c:orientation val="minMax"/>
        </c:scaling>
        <c:delete val="1"/>
        <c:axPos val="b"/>
        <c:majorTickMark val="out"/>
        <c:minorTickMark val="none"/>
        <c:tickLblPos val="nextTo"/>
        <c:crossAx val="186133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CO2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3, 4, and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scatterChart>
        <c:scatterStyle val="smoothMarker"/>
        <c:varyColors val="1"/>
        <c:ser>
          <c:idx val="0"/>
          <c:order val="0"/>
          <c:tx>
            <c:v>CO2 In Run 3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(2)'!$H$5:$H$7</c:f>
              <c:numCache>
                <c:formatCode>General</c:formatCode>
                <c:ptCount val="3"/>
                <c:pt idx="0">
                  <c:v>3.65</c:v>
                </c:pt>
                <c:pt idx="1">
                  <c:v>1.38</c:v>
                </c:pt>
                <c:pt idx="2">
                  <c:v>0.91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25-4B9D-8215-72FC53107FC4}"/>
            </c:ext>
          </c:extLst>
        </c:ser>
        <c:ser>
          <c:idx val="1"/>
          <c:order val="1"/>
          <c:tx>
            <c:v>CO2 Out Run 3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(2)'!$L$5:$L$7</c:f>
              <c:numCache>
                <c:formatCode>0.000</c:formatCode>
                <c:ptCount val="3"/>
                <c:pt idx="0">
                  <c:v>6.6078596491228074E-3</c:v>
                </c:pt>
                <c:pt idx="1">
                  <c:v>6.6832888888888886E-2</c:v>
                </c:pt>
                <c:pt idx="2">
                  <c:v>3.8231111111111122E-3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25-4B9D-8215-72FC53107FC4}"/>
            </c:ext>
          </c:extLst>
        </c:ser>
        <c:ser>
          <c:idx val="2"/>
          <c:order val="2"/>
          <c:tx>
            <c:v>CO2 Captured Run 3</c:v>
          </c:tx>
          <c:spPr>
            <a:ln w="28575" cmpd="sng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'Run 3, 4, and 5 (2)'!$B$5:$B$7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'Run 3, 4, and 5 (2)'!$M$5:$M$7</c:f>
              <c:numCache>
                <c:formatCode>0.00</c:formatCode>
                <c:ptCount val="3"/>
                <c:pt idx="0">
                  <c:v>3.6433921403508771</c:v>
                </c:pt>
                <c:pt idx="1">
                  <c:v>1.313167111111111</c:v>
                </c:pt>
                <c:pt idx="2">
                  <c:v>0.90617688888888892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25-4B9D-8215-72FC53107FC4}"/>
            </c:ext>
          </c:extLst>
        </c:ser>
        <c:ser>
          <c:idx val="3"/>
          <c:order val="3"/>
          <c:tx>
            <c:v>CO2 In Run 4</c:v>
          </c:tx>
          <c:marker>
            <c:symbol val="none"/>
          </c:marke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(2)'!$H$8:$H$20</c:f>
              <c:numCache>
                <c:formatCode>General</c:formatCode>
                <c:ptCount val="13"/>
                <c:pt idx="0">
                  <c:v>9.18</c:v>
                </c:pt>
                <c:pt idx="1">
                  <c:v>2.0099999999999998</c:v>
                </c:pt>
                <c:pt idx="2">
                  <c:v>3.2</c:v>
                </c:pt>
                <c:pt idx="3">
                  <c:v>5.9</c:v>
                </c:pt>
                <c:pt idx="4">
                  <c:v>5.37</c:v>
                </c:pt>
                <c:pt idx="5">
                  <c:v>5.38</c:v>
                </c:pt>
                <c:pt idx="6">
                  <c:v>5.35</c:v>
                </c:pt>
                <c:pt idx="7">
                  <c:v>6.06</c:v>
                </c:pt>
                <c:pt idx="8">
                  <c:v>3.42</c:v>
                </c:pt>
                <c:pt idx="9">
                  <c:v>3.72</c:v>
                </c:pt>
                <c:pt idx="10">
                  <c:v>5.18</c:v>
                </c:pt>
                <c:pt idx="11">
                  <c:v>5.36</c:v>
                </c:pt>
                <c:pt idx="12">
                  <c:v>4.84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25-4B9D-8215-72FC53107FC4}"/>
            </c:ext>
          </c:extLst>
        </c:ser>
        <c:ser>
          <c:idx val="4"/>
          <c:order val="4"/>
          <c:tx>
            <c:v>CO2 Out Run 4</c:v>
          </c:tx>
          <c:spPr>
            <a:ln w="76200"/>
          </c:spPr>
          <c:marker>
            <c:symbol val="none"/>
          </c:marke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(2)'!$L$8:$L$20</c:f>
              <c:numCache>
                <c:formatCode>0.000</c:formatCode>
                <c:ptCount val="13"/>
                <c:pt idx="0">
                  <c:v>4.9291927272727279E-3</c:v>
                </c:pt>
                <c:pt idx="1">
                  <c:v>7.4059999999999994E-3</c:v>
                </c:pt>
                <c:pt idx="2">
                  <c:v>8.5821846153846144E-3</c:v>
                </c:pt>
                <c:pt idx="3">
                  <c:v>1.0285599999999997E-2</c:v>
                </c:pt>
                <c:pt idx="4">
                  <c:v>5.6316974358974368E-3</c:v>
                </c:pt>
                <c:pt idx="5">
                  <c:v>7.1908952380952389E-3</c:v>
                </c:pt>
                <c:pt idx="6">
                  <c:v>5.4110033898305092E-3</c:v>
                </c:pt>
                <c:pt idx="7">
                  <c:v>9.8385882352941181E-3</c:v>
                </c:pt>
                <c:pt idx="8">
                  <c:v>7.2407755102040809E-3</c:v>
                </c:pt>
                <c:pt idx="9">
                  <c:v>4.5079999999999999E-3</c:v>
                </c:pt>
                <c:pt idx="10">
                  <c:v>1.3890800000000002E-2</c:v>
                </c:pt>
                <c:pt idx="11">
                  <c:v>1.3890800000000002E-2</c:v>
                </c:pt>
                <c:pt idx="12">
                  <c:v>7.1099936507936527E-3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25-4B9D-8215-72FC53107FC4}"/>
            </c:ext>
          </c:extLst>
        </c:ser>
        <c:ser>
          <c:idx val="5"/>
          <c:order val="5"/>
          <c:tx>
            <c:v>CO2 Captured Run 4</c:v>
          </c:tx>
          <c:spPr>
            <a:ln>
              <a:solidFill>
                <a:srgbClr val="002060"/>
              </a:solidFill>
              <a:prstDash val="dash"/>
            </a:ln>
          </c:spPr>
          <c:marker>
            <c:symbol val="none"/>
          </c:marker>
          <c:xVal>
            <c:numRef>
              <c:f>'Run 3, 4, and 5 (2)'!$B$8:$B$20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'Run 3, 4, and 5 (2)'!$M$8:$M$20</c:f>
              <c:numCache>
                <c:formatCode>0.00</c:formatCode>
                <c:ptCount val="13"/>
                <c:pt idx="0">
                  <c:v>9.1750708072727267</c:v>
                </c:pt>
                <c:pt idx="1">
                  <c:v>2.0025939999999998</c:v>
                </c:pt>
                <c:pt idx="2">
                  <c:v>3.1914178153846158</c:v>
                </c:pt>
                <c:pt idx="3">
                  <c:v>5.8897144000000008</c:v>
                </c:pt>
                <c:pt idx="4">
                  <c:v>5.3643683025641025</c:v>
                </c:pt>
                <c:pt idx="5">
                  <c:v>5.3728091047619051</c:v>
                </c:pt>
                <c:pt idx="6">
                  <c:v>5.3445889966101694</c:v>
                </c:pt>
                <c:pt idx="7">
                  <c:v>6.0501614117647051</c:v>
                </c:pt>
                <c:pt idx="8">
                  <c:v>3.412759224489796</c:v>
                </c:pt>
                <c:pt idx="9">
                  <c:v>3.7154920000000002</c:v>
                </c:pt>
                <c:pt idx="10">
                  <c:v>5.1661091999999993</c:v>
                </c:pt>
                <c:pt idx="11">
                  <c:v>5.3461091999999999</c:v>
                </c:pt>
                <c:pt idx="12">
                  <c:v>4.8328900063492064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125-4B9D-8215-72FC53107FC4}"/>
            </c:ext>
          </c:extLst>
        </c:ser>
        <c:ser>
          <c:idx val="6"/>
          <c:order val="6"/>
          <c:tx>
            <c:v>CO2 In Run 5</c:v>
          </c:tx>
          <c:marker>
            <c:symbol val="none"/>
          </c:marker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(2)'!$H$21:$H$38</c:f>
              <c:numCache>
                <c:formatCode>General</c:formatCode>
                <c:ptCount val="18"/>
                <c:pt idx="0">
                  <c:v>3.69</c:v>
                </c:pt>
                <c:pt idx="1">
                  <c:v>3.6</c:v>
                </c:pt>
                <c:pt idx="2">
                  <c:v>2.4500000000000002</c:v>
                </c:pt>
                <c:pt idx="3">
                  <c:v>5.81</c:v>
                </c:pt>
                <c:pt idx="4">
                  <c:v>2.16</c:v>
                </c:pt>
                <c:pt idx="5">
                  <c:v>2.91</c:v>
                </c:pt>
                <c:pt idx="6">
                  <c:v>1.73</c:v>
                </c:pt>
                <c:pt idx="7">
                  <c:v>2.58</c:v>
                </c:pt>
                <c:pt idx="8">
                  <c:v>1.56</c:v>
                </c:pt>
                <c:pt idx="9">
                  <c:v>2.42</c:v>
                </c:pt>
                <c:pt idx="10">
                  <c:v>2.0699999999999998</c:v>
                </c:pt>
                <c:pt idx="11">
                  <c:v>1.84</c:v>
                </c:pt>
                <c:pt idx="12">
                  <c:v>1.49</c:v>
                </c:pt>
                <c:pt idx="13">
                  <c:v>2.02</c:v>
                </c:pt>
                <c:pt idx="14">
                  <c:v>0.73</c:v>
                </c:pt>
                <c:pt idx="15">
                  <c:v>1.4</c:v>
                </c:pt>
                <c:pt idx="16">
                  <c:v>0.85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125-4B9D-8215-72FC53107FC4}"/>
            </c:ext>
          </c:extLst>
        </c:ser>
        <c:ser>
          <c:idx val="7"/>
          <c:order val="7"/>
          <c:tx>
            <c:v>CO2 Out Run 5</c:v>
          </c:tx>
          <c:spPr>
            <a:ln w="76200"/>
          </c:spPr>
          <c:marker>
            <c:symbol val="none"/>
          </c:marker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(2)'!$L$21:$L$38</c:f>
              <c:numCache>
                <c:formatCode>0.000</c:formatCode>
                <c:ptCount val="18"/>
                <c:pt idx="0">
                  <c:v>1.3084195121951222E-2</c:v>
                </c:pt>
                <c:pt idx="1">
                  <c:v>1.7953917948717948E-2</c:v>
                </c:pt>
                <c:pt idx="2">
                  <c:v>4.8992190476190491E-3</c:v>
                </c:pt>
                <c:pt idx="3">
                  <c:v>4.8190476190476186E-3</c:v>
                </c:pt>
                <c:pt idx="4">
                  <c:v>9.0436713178294586E-3</c:v>
                </c:pt>
                <c:pt idx="5">
                  <c:v>1.0051475862068969E-2</c:v>
                </c:pt>
                <c:pt idx="6">
                  <c:v>1.090060606060606E-2</c:v>
                </c:pt>
                <c:pt idx="7">
                  <c:v>1.2171600000000001E-2</c:v>
                </c:pt>
                <c:pt idx="8">
                  <c:v>1.4076E-2</c:v>
                </c:pt>
                <c:pt idx="9">
                  <c:v>1.9927200000000009E-2</c:v>
                </c:pt>
                <c:pt idx="10">
                  <c:v>1.7001599999999999E-2</c:v>
                </c:pt>
                <c:pt idx="11">
                  <c:v>1.0500266666666667E-2</c:v>
                </c:pt>
                <c:pt idx="12">
                  <c:v>1.1923199999999997E-2</c:v>
                </c:pt>
                <c:pt idx="13">
                  <c:v>1.8399999999999996E-2</c:v>
                </c:pt>
                <c:pt idx="14">
                  <c:v>1.0653600000000001E-2</c:v>
                </c:pt>
                <c:pt idx="15">
                  <c:v>1.1138133333333331E-2</c:v>
                </c:pt>
                <c:pt idx="16">
                  <c:v>1.3738666666666668E-2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125-4B9D-8215-72FC53107FC4}"/>
            </c:ext>
          </c:extLst>
        </c:ser>
        <c:ser>
          <c:idx val="8"/>
          <c:order val="8"/>
          <c:tx>
            <c:v>CO2 Captured Run 5</c:v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'Run 3, 4, and 5 (2)'!$B$21:$B$38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xVal>
          <c:yVal>
            <c:numRef>
              <c:f>'Run 3, 4, and 5 (2)'!$M$21:$M$38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2.1509563286821707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125-4B9D-8215-72FC5310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742323"/>
        <c:axId val="86163043"/>
      </c:scatterChart>
      <c:valAx>
        <c:axId val="1161742323"/>
        <c:scaling>
          <c:orientation val="minMax"/>
          <c:max val="3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crossBetween val="midCat"/>
        <c:majorUnit val="1"/>
      </c:valAx>
      <c:valAx>
        <c:axId val="86163043"/>
        <c:scaling>
          <c:orientation val="minMax"/>
          <c:max val="1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midCat"/>
        <c:maj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CO2 Capture </a:t>
            </a:r>
          </a:p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1" i="0">
                <a:solidFill>
                  <a:sysClr val="windowText" lastClr="000000"/>
                </a:solidFill>
                <a:latin typeface="+mn-lt"/>
              </a:rPr>
              <a:t>Run</a:t>
            </a:r>
            <a:r>
              <a:rPr lang="en-GB" sz="1400" b="1" i="0" baseline="0">
                <a:solidFill>
                  <a:sysClr val="windowText" lastClr="000000"/>
                </a:solidFill>
                <a:latin typeface="+mn-lt"/>
              </a:rPr>
              <a:t> 5</a:t>
            </a:r>
            <a:endParaRPr lang="en-GB" sz="1400" b="1" i="0">
              <a:solidFill>
                <a:sysClr val="windowText" lastClr="000000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680725254170815E-2"/>
          <c:y val="0.14397912589693412"/>
          <c:w val="0.90339590309831963"/>
          <c:h val="0.68360037187132439"/>
        </c:manualLayout>
      </c:layout>
      <c:lineChart>
        <c:grouping val="standard"/>
        <c:varyColors val="1"/>
        <c:ser>
          <c:idx val="0"/>
          <c:order val="0"/>
          <c:tx>
            <c:v>Co2 In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5 Gen 1+Gen 2.2+ Zeolite'!$H$5:$H$22</c:f>
              <c:numCache>
                <c:formatCode>General</c:formatCode>
                <c:ptCount val="18"/>
                <c:pt idx="0">
                  <c:v>3.69</c:v>
                </c:pt>
                <c:pt idx="1">
                  <c:v>3.6</c:v>
                </c:pt>
                <c:pt idx="2">
                  <c:v>2.4500000000000002</c:v>
                </c:pt>
                <c:pt idx="3">
                  <c:v>5.81</c:v>
                </c:pt>
                <c:pt idx="4">
                  <c:v>2.0099999999999998</c:v>
                </c:pt>
                <c:pt idx="5">
                  <c:v>2.91</c:v>
                </c:pt>
                <c:pt idx="6">
                  <c:v>1.73</c:v>
                </c:pt>
                <c:pt idx="7">
                  <c:v>2.58</c:v>
                </c:pt>
                <c:pt idx="8">
                  <c:v>1.56</c:v>
                </c:pt>
                <c:pt idx="9">
                  <c:v>2.42</c:v>
                </c:pt>
                <c:pt idx="10">
                  <c:v>2.0699999999999998</c:v>
                </c:pt>
                <c:pt idx="11">
                  <c:v>1.84</c:v>
                </c:pt>
                <c:pt idx="12">
                  <c:v>1.49</c:v>
                </c:pt>
                <c:pt idx="13">
                  <c:v>2.02</c:v>
                </c:pt>
                <c:pt idx="14">
                  <c:v>0.73</c:v>
                </c:pt>
                <c:pt idx="15">
                  <c:v>1.4</c:v>
                </c:pt>
                <c:pt idx="16">
                  <c:v>0.85</c:v>
                </c:pt>
                <c:pt idx="17">
                  <c:v>0.93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4D-4E10-A878-4C2B4E55FCBA}"/>
            </c:ext>
          </c:extLst>
        </c:ser>
        <c:ser>
          <c:idx val="1"/>
          <c:order val="1"/>
          <c:tx>
            <c:v>Co2 Out</c:v>
          </c:tx>
          <c:spPr>
            <a:ln w="76200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5 Gen 1+Gen 2.2+ Zeolite'!$L$5:$L$22</c:f>
              <c:numCache>
                <c:formatCode>0.000</c:formatCode>
                <c:ptCount val="18"/>
                <c:pt idx="0">
                  <c:v>1.3084195121951222E-2</c:v>
                </c:pt>
                <c:pt idx="1">
                  <c:v>1.7953917948717948E-2</c:v>
                </c:pt>
                <c:pt idx="2">
                  <c:v>4.8992190476190491E-3</c:v>
                </c:pt>
                <c:pt idx="3">
                  <c:v>4.8190476190476186E-3</c:v>
                </c:pt>
                <c:pt idx="4">
                  <c:v>9.0436713178294586E-3</c:v>
                </c:pt>
                <c:pt idx="5">
                  <c:v>1.0051475862068969E-2</c:v>
                </c:pt>
                <c:pt idx="6">
                  <c:v>1.090060606060606E-2</c:v>
                </c:pt>
                <c:pt idx="7">
                  <c:v>1.2171600000000001E-2</c:v>
                </c:pt>
                <c:pt idx="8">
                  <c:v>1.4076E-2</c:v>
                </c:pt>
                <c:pt idx="9">
                  <c:v>1.9927200000000009E-2</c:v>
                </c:pt>
                <c:pt idx="10">
                  <c:v>1.7001599999999999E-2</c:v>
                </c:pt>
                <c:pt idx="11">
                  <c:v>1.0500266666666667E-2</c:v>
                </c:pt>
                <c:pt idx="12">
                  <c:v>1.1923199999999997E-2</c:v>
                </c:pt>
                <c:pt idx="13">
                  <c:v>1.8399999999999996E-2</c:v>
                </c:pt>
                <c:pt idx="14">
                  <c:v>1.0653600000000001E-2</c:v>
                </c:pt>
                <c:pt idx="15">
                  <c:v>1.1138133333333331E-2</c:v>
                </c:pt>
                <c:pt idx="16">
                  <c:v>1.3738666666666668E-2</c:v>
                </c:pt>
                <c:pt idx="17">
                  <c:v>5.0088888888888882E-3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4D-4E10-A878-4C2B4E55FCBA}"/>
            </c:ext>
          </c:extLst>
        </c:ser>
        <c:ser>
          <c:idx val="2"/>
          <c:order val="2"/>
          <c:tx>
            <c:v>Co2 Captured</c:v>
          </c:tx>
          <c:spPr>
            <a:ln w="28575" cmpd="sng">
              <a:solidFill>
                <a:srgbClr val="0000FF"/>
              </a:solidFill>
            </a:ln>
          </c:spPr>
          <c:marker>
            <c:symbol val="none"/>
          </c:marker>
          <c:val>
            <c:numRef>
              <c:f>'Run 5 Gen 1+Gen 2.2+ Zeolite'!$M$5:$M$22</c:f>
              <c:numCache>
                <c:formatCode>0.00</c:formatCode>
                <c:ptCount val="18"/>
                <c:pt idx="0">
                  <c:v>3.6769158048780488</c:v>
                </c:pt>
                <c:pt idx="1">
                  <c:v>3.5820460820512823</c:v>
                </c:pt>
                <c:pt idx="2">
                  <c:v>2.445100780952381</c:v>
                </c:pt>
                <c:pt idx="3">
                  <c:v>5.8051809523809519</c:v>
                </c:pt>
                <c:pt idx="4">
                  <c:v>2.0009563286821703</c:v>
                </c:pt>
                <c:pt idx="5">
                  <c:v>2.899948524137931</c:v>
                </c:pt>
                <c:pt idx="6">
                  <c:v>1.7190993939393939</c:v>
                </c:pt>
                <c:pt idx="7">
                  <c:v>2.5678284000000002</c:v>
                </c:pt>
                <c:pt idx="8">
                  <c:v>1.5459240000000001</c:v>
                </c:pt>
                <c:pt idx="9">
                  <c:v>2.4000727999999998</c:v>
                </c:pt>
                <c:pt idx="10">
                  <c:v>2.0529983999999999</c:v>
                </c:pt>
                <c:pt idx="11">
                  <c:v>1.8294997333333334</c:v>
                </c:pt>
                <c:pt idx="12">
                  <c:v>1.4780768</c:v>
                </c:pt>
                <c:pt idx="13">
                  <c:v>2.0015999999999998</c:v>
                </c:pt>
                <c:pt idx="14">
                  <c:v>0.71934639999999994</c:v>
                </c:pt>
                <c:pt idx="15">
                  <c:v>1.3888618666666666</c:v>
                </c:pt>
                <c:pt idx="16">
                  <c:v>0.8362613333333333</c:v>
                </c:pt>
                <c:pt idx="17">
                  <c:v>0.92499111111111121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4D-4E10-A878-4C2B4E55F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42323"/>
        <c:axId val="86163043"/>
      </c:lineChart>
      <c:catAx>
        <c:axId val="116174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Cycle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86163043"/>
        <c:crosses val="autoZero"/>
        <c:auto val="1"/>
        <c:lblAlgn val="ctr"/>
        <c:lblOffset val="100"/>
        <c:noMultiLvlLbl val="1"/>
      </c:catAx>
      <c:valAx>
        <c:axId val="86163043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CO2,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61742323"/>
        <c:crosses val="autoZero"/>
        <c:crossBetween val="between"/>
        <c:maj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CO₂ Concentration From UAE  </a:t>
            </a:r>
          </a:p>
        </c:rich>
      </c:tx>
      <c:layout>
        <c:manualLayout>
          <c:xMode val="edge"/>
          <c:yMode val="edge"/>
          <c:x val="0.36564907110162292"/>
          <c:y val="5.7129350336641953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Conc In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UAE!$N$5:$N$14</c:f>
              <c:numCache>
                <c:formatCode>0.00</c:formatCode>
                <c:ptCount val="10"/>
                <c:pt idx="0">
                  <c:v>19.23</c:v>
                </c:pt>
                <c:pt idx="3">
                  <c:v>19.600000000000001</c:v>
                </c:pt>
                <c:pt idx="6">
                  <c:v>19.48</c:v>
                </c:pt>
                <c:pt idx="7">
                  <c:v>19.8</c:v>
                </c:pt>
                <c:pt idx="8">
                  <c:v>19.7</c:v>
                </c:pt>
                <c:pt idx="9">
                  <c:v>19.78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B8-429A-879C-75106C5CD270}"/>
            </c:ext>
          </c:extLst>
        </c:ser>
        <c:ser>
          <c:idx val="1"/>
          <c:order val="1"/>
          <c:tx>
            <c:v>Conc Out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UAE!$N$18:$N$27</c:f>
              <c:numCache>
                <c:formatCode>0.00</c:formatCode>
                <c:ptCount val="10"/>
                <c:pt idx="0">
                  <c:v>0.32</c:v>
                </c:pt>
                <c:pt idx="1">
                  <c:v>0.31</c:v>
                </c:pt>
                <c:pt idx="2">
                  <c:v>0.31</c:v>
                </c:pt>
                <c:pt idx="3">
                  <c:v>0.3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0.28999999999999998</c:v>
                </c:pt>
                <c:pt idx="8">
                  <c:v>0.28000000000000003</c:v>
                </c:pt>
                <c:pt idx="9">
                  <c:v>0.28000000000000003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B8-429A-879C-75106C5CD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5419032"/>
        <c:axId val="742829990"/>
      </c:lineChart>
      <c:catAx>
        <c:axId val="1695419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Minutes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42829990"/>
        <c:crosses val="autoZero"/>
        <c:auto val="1"/>
        <c:lblAlgn val="ctr"/>
        <c:lblOffset val="100"/>
        <c:noMultiLvlLbl val="1"/>
      </c:catAx>
      <c:valAx>
        <c:axId val="742829990"/>
        <c:scaling>
          <c:orientation val="minMax"/>
          <c:max val="2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H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95419032"/>
        <c:crosses val="autoZero"/>
        <c:crossBetween val="between"/>
        <c:majorUnit val="1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CO₂ Concentration From Operate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Conc In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UAE!$AA$8:$AA$15</c:f>
              <c:numCache>
                <c:formatCode>General</c:formatCode>
                <c:ptCount val="8"/>
                <c:pt idx="0">
                  <c:v>12.58</c:v>
                </c:pt>
                <c:pt idx="3">
                  <c:v>12.58</c:v>
                </c:pt>
                <c:pt idx="4">
                  <c:v>12.58</c:v>
                </c:pt>
                <c:pt idx="5">
                  <c:v>12.58</c:v>
                </c:pt>
                <c:pt idx="6">
                  <c:v>12.58</c:v>
                </c:pt>
                <c:pt idx="7">
                  <c:v>12.58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96-404B-93A9-31A94E6180F0}"/>
            </c:ext>
          </c:extLst>
        </c:ser>
        <c:ser>
          <c:idx val="1"/>
          <c:order val="1"/>
          <c:tx>
            <c:v>Conc Out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UAE!$AA$19:$AA$28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96-404B-93A9-31A94E618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738046"/>
        <c:axId val="1866104703"/>
      </c:lineChart>
      <c:catAx>
        <c:axId val="388738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Minutes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866104703"/>
        <c:crosses val="autoZero"/>
        <c:auto val="1"/>
        <c:lblAlgn val="ctr"/>
        <c:lblOffset val="100"/>
        <c:noMultiLvlLbl val="1"/>
      </c:catAx>
      <c:valAx>
        <c:axId val="1866104703"/>
        <c:scaling>
          <c:orientation val="minMax"/>
          <c:max val="2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388738046"/>
        <c:crosses val="autoZero"/>
        <c:crossBetween val="between"/>
        <c:majorUnit val="1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n-GB" sz="1800" b="1" i="0">
                <a:solidFill>
                  <a:schemeClr val="dk1"/>
                </a:solidFill>
                <a:latin typeface="+mn-lt"/>
              </a:rPr>
              <a:t>CO₂ Concentration From UAE  </a:t>
            </a:r>
          </a:p>
        </c:rich>
      </c:tx>
      <c:layout>
        <c:manualLayout>
          <c:xMode val="edge"/>
          <c:yMode val="edge"/>
          <c:x val="0.36716420510190945"/>
          <c:y val="3.11614638199865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Conc Regen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1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UAE!$N$31:$N$40</c:f>
              <c:numCache>
                <c:formatCode>0.00</c:formatCode>
                <c:ptCount val="10"/>
                <c:pt idx="0">
                  <c:v>74.900000000000006</c:v>
                </c:pt>
                <c:pt idx="1">
                  <c:v>95.92</c:v>
                </c:pt>
                <c:pt idx="2">
                  <c:v>91.5</c:v>
                </c:pt>
                <c:pt idx="3">
                  <c:v>81.95</c:v>
                </c:pt>
                <c:pt idx="4">
                  <c:v>73.75</c:v>
                </c:pt>
                <c:pt idx="5">
                  <c:v>68.52</c:v>
                </c:pt>
                <c:pt idx="6">
                  <c:v>47.09</c:v>
                </c:pt>
                <c:pt idx="7">
                  <c:v>77.16</c:v>
                </c:pt>
                <c:pt idx="8">
                  <c:v>81.36</c:v>
                </c:pt>
                <c:pt idx="9">
                  <c:v>78.489999999999995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B9-4EF3-BEF0-18934EE9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098883"/>
        <c:axId val="2046354854"/>
      </c:lineChart>
      <c:catAx>
        <c:axId val="1656098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GB" sz="900" b="1" i="0">
                    <a:solidFill>
                      <a:schemeClr val="dk1"/>
                    </a:solidFill>
                    <a:latin typeface="+mn-lt"/>
                  </a:rPr>
                  <a:t>Minutes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LID4096"/>
          </a:p>
        </c:txPr>
        <c:crossAx val="2046354854"/>
        <c:crosses val="autoZero"/>
        <c:auto val="1"/>
        <c:lblAlgn val="ctr"/>
        <c:lblOffset val="100"/>
        <c:noMultiLvlLbl val="1"/>
      </c:catAx>
      <c:valAx>
        <c:axId val="204635485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H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56098883"/>
        <c:crosses val="autoZero"/>
        <c:crossBetween val="between"/>
        <c:majorUnit val="1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n-US" sz="1800" b="1" i="0">
                <a:solidFill>
                  <a:schemeClr val="dk1"/>
                </a:solidFill>
                <a:latin typeface="+mn-lt"/>
              </a:rPr>
              <a:t>CO₂ Concentration From UAE  </a:t>
            </a:r>
          </a:p>
        </c:rich>
      </c:tx>
      <c:layout>
        <c:manualLayout>
          <c:xMode val="edge"/>
          <c:yMode val="edge"/>
          <c:x val="0.36716420510190945"/>
          <c:y val="3.11614638199865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Conc Regen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1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UAE!$AA$32:$AA$41</c:f>
              <c:numCache>
                <c:formatCode>General</c:formatCode>
                <c:ptCount val="10"/>
                <c:pt idx="0">
                  <c:v>94.84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53-40F5-94D2-59B67A990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0792"/>
        <c:axId val="1096443142"/>
      </c:lineChart>
      <c:catAx>
        <c:axId val="411000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US" sz="900" b="1" i="0">
                    <a:solidFill>
                      <a:schemeClr val="dk1"/>
                    </a:solidFill>
                    <a:latin typeface="+mn-lt"/>
                  </a:rPr>
                  <a:t>Minutes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LID4096"/>
          </a:p>
        </c:txPr>
        <c:crossAx val="1096443142"/>
        <c:crosses val="autoZero"/>
        <c:auto val="1"/>
        <c:lblAlgn val="ctr"/>
        <c:lblOffset val="100"/>
        <c:noMultiLvlLbl val="1"/>
      </c:catAx>
      <c:valAx>
        <c:axId val="1096443142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411000792"/>
        <c:crosses val="autoZero"/>
        <c:crossBetween val="between"/>
        <c:majorUnit val="1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sz="1400" b="0" i="0">
                <a:solidFill>
                  <a:srgbClr val="000000"/>
                </a:solidFill>
                <a:latin typeface="+mn-lt"/>
              </a:rPr>
              <a:t>Op hours &amp; CO₂ Captured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'Run 1 Gen 1 with 10%, 17.1% (2)'!$C$6:$C$35</c:f>
              <c:numCache>
                <c:formatCode>h:mm</c:formatCode>
                <c:ptCount val="30"/>
                <c:pt idx="0">
                  <c:v>0.27916666666666667</c:v>
                </c:pt>
                <c:pt idx="1">
                  <c:v>0.3347222222222222</c:v>
                </c:pt>
                <c:pt idx="2">
                  <c:v>0.24722222222222218</c:v>
                </c:pt>
                <c:pt idx="3">
                  <c:v>0.2805555555555555</c:v>
                </c:pt>
                <c:pt idx="4">
                  <c:v>0.27222222222222225</c:v>
                </c:pt>
                <c:pt idx="5">
                  <c:v>0.22152777777777782</c:v>
                </c:pt>
                <c:pt idx="6">
                  <c:v>0.29652777777777778</c:v>
                </c:pt>
                <c:pt idx="7">
                  <c:v>0.27222222222222225</c:v>
                </c:pt>
                <c:pt idx="8">
                  <c:v>0.24791666666666662</c:v>
                </c:pt>
                <c:pt idx="9">
                  <c:v>0.2541666666666666</c:v>
                </c:pt>
                <c:pt idx="10">
                  <c:v>0.22361111111111115</c:v>
                </c:pt>
                <c:pt idx="11">
                  <c:v>0.21527777777777785</c:v>
                </c:pt>
                <c:pt idx="12">
                  <c:v>0.25277777777777777</c:v>
                </c:pt>
                <c:pt idx="13">
                  <c:v>0.2729166666666667</c:v>
                </c:pt>
                <c:pt idx="14">
                  <c:v>0.21944444444444444</c:v>
                </c:pt>
                <c:pt idx="15">
                  <c:v>0.27083333333333326</c:v>
                </c:pt>
                <c:pt idx="16">
                  <c:v>0.18472222222222223</c:v>
                </c:pt>
                <c:pt idx="17">
                  <c:v>0.24166666666666664</c:v>
                </c:pt>
                <c:pt idx="18">
                  <c:v>0.22291666666666671</c:v>
                </c:pt>
                <c:pt idx="19">
                  <c:v>0.21666666666666667</c:v>
                </c:pt>
                <c:pt idx="20">
                  <c:v>0.17777777777777781</c:v>
                </c:pt>
                <c:pt idx="21">
                  <c:v>0.2048611111111111</c:v>
                </c:pt>
                <c:pt idx="22">
                  <c:v>0.21597222222222223</c:v>
                </c:pt>
                <c:pt idx="23">
                  <c:v>0.2277777777777778</c:v>
                </c:pt>
                <c:pt idx="24">
                  <c:v>0.21250000000000002</c:v>
                </c:pt>
                <c:pt idx="25">
                  <c:v>0.23958333333333337</c:v>
                </c:pt>
                <c:pt idx="26">
                  <c:v>0.19930555555555551</c:v>
                </c:pt>
                <c:pt idx="27">
                  <c:v>0.22083333333333338</c:v>
                </c:pt>
                <c:pt idx="28">
                  <c:v>0.25486111111111115</c:v>
                </c:pt>
                <c:pt idx="29">
                  <c:v>0.18958333333333338</c:v>
                </c:pt>
              </c:numCache>
            </c:numRef>
          </c:cat>
          <c:val>
            <c:numRef>
              <c:f>'Run 1 Gen 1 with 10%, 17.1% (2)'!$Q$6:$Q$35</c:f>
              <c:numCache>
                <c:formatCode>0.00</c:formatCode>
                <c:ptCount val="30"/>
                <c:pt idx="0">
                  <c:v>2.6798900000000003</c:v>
                </c:pt>
                <c:pt idx="1">
                  <c:v>6.6999000000000004</c:v>
                </c:pt>
                <c:pt idx="2">
                  <c:v>4.7692999999999994</c:v>
                </c:pt>
                <c:pt idx="3">
                  <c:v>5.4997100000000003</c:v>
                </c:pt>
                <c:pt idx="4">
                  <c:v>14.549760000000001</c:v>
                </c:pt>
                <c:pt idx="5">
                  <c:v>3.7099899999999999</c:v>
                </c:pt>
                <c:pt idx="6">
                  <c:v>0</c:v>
                </c:pt>
                <c:pt idx="7">
                  <c:v>5.3598500000000007</c:v>
                </c:pt>
                <c:pt idx="8">
                  <c:v>4.6097700000000001</c:v>
                </c:pt>
                <c:pt idx="9">
                  <c:v>4.05952</c:v>
                </c:pt>
                <c:pt idx="10">
                  <c:v>3.43973</c:v>
                </c:pt>
                <c:pt idx="11">
                  <c:v>4.3795999999999999</c:v>
                </c:pt>
                <c:pt idx="12">
                  <c:v>5.1098800000000004</c:v>
                </c:pt>
                <c:pt idx="13">
                  <c:v>3.3096999999999999</c:v>
                </c:pt>
                <c:pt idx="14">
                  <c:v>2.2788999999999997</c:v>
                </c:pt>
                <c:pt idx="15">
                  <c:v>5.8397299999999994</c:v>
                </c:pt>
                <c:pt idx="16">
                  <c:v>0</c:v>
                </c:pt>
                <c:pt idx="17">
                  <c:v>4.0992599999999992</c:v>
                </c:pt>
                <c:pt idx="18">
                  <c:v>3.2893300000000001</c:v>
                </c:pt>
                <c:pt idx="19">
                  <c:v>6.6893200000000004</c:v>
                </c:pt>
                <c:pt idx="20">
                  <c:v>2.7778299999999998</c:v>
                </c:pt>
                <c:pt idx="21">
                  <c:v>2.2797799999999997</c:v>
                </c:pt>
                <c:pt idx="22">
                  <c:v>3.8196999999999997</c:v>
                </c:pt>
                <c:pt idx="23">
                  <c:v>2.0784600000000002</c:v>
                </c:pt>
                <c:pt idx="24">
                  <c:v>1.97984</c:v>
                </c:pt>
                <c:pt idx="25">
                  <c:v>2.13978</c:v>
                </c:pt>
                <c:pt idx="26">
                  <c:v>2.1398999999999999</c:v>
                </c:pt>
                <c:pt idx="27">
                  <c:v>2.1498599999999999</c:v>
                </c:pt>
                <c:pt idx="28">
                  <c:v>6.1076900000000007</c:v>
                </c:pt>
                <c:pt idx="29">
                  <c:v>2.0398399999999999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9-4B3B-AE35-C41925835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317227"/>
        <c:axId val="1429868465"/>
      </c:lineChart>
      <c:catAx>
        <c:axId val="1345317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29868465"/>
        <c:crosses val="autoZero"/>
        <c:auto val="1"/>
        <c:lblAlgn val="ctr"/>
        <c:lblOffset val="100"/>
        <c:noMultiLvlLbl val="1"/>
      </c:catAx>
      <c:valAx>
        <c:axId val="1429868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34531722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CO₂ Captured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1 Gen 1 with 10%, 17.1% (2)'!$Q$6:$Q$35</c:f>
              <c:numCache>
                <c:formatCode>0.00</c:formatCode>
                <c:ptCount val="30"/>
                <c:pt idx="0">
                  <c:v>2.6798900000000003</c:v>
                </c:pt>
                <c:pt idx="1">
                  <c:v>6.6999000000000004</c:v>
                </c:pt>
                <c:pt idx="2">
                  <c:v>4.7692999999999994</c:v>
                </c:pt>
                <c:pt idx="3">
                  <c:v>5.4997100000000003</c:v>
                </c:pt>
                <c:pt idx="4">
                  <c:v>14.549760000000001</c:v>
                </c:pt>
                <c:pt idx="5">
                  <c:v>3.7099899999999999</c:v>
                </c:pt>
                <c:pt idx="6">
                  <c:v>0</c:v>
                </c:pt>
                <c:pt idx="7">
                  <c:v>5.3598500000000007</c:v>
                </c:pt>
                <c:pt idx="8">
                  <c:v>4.6097700000000001</c:v>
                </c:pt>
                <c:pt idx="9">
                  <c:v>4.05952</c:v>
                </c:pt>
                <c:pt idx="10">
                  <c:v>3.43973</c:v>
                </c:pt>
                <c:pt idx="11">
                  <c:v>4.3795999999999999</c:v>
                </c:pt>
                <c:pt idx="12">
                  <c:v>5.1098800000000004</c:v>
                </c:pt>
                <c:pt idx="13">
                  <c:v>3.3096999999999999</c:v>
                </c:pt>
                <c:pt idx="14">
                  <c:v>2.2788999999999997</c:v>
                </c:pt>
                <c:pt idx="15">
                  <c:v>5.8397299999999994</c:v>
                </c:pt>
                <c:pt idx="16">
                  <c:v>0</c:v>
                </c:pt>
                <c:pt idx="17">
                  <c:v>4.0992599999999992</c:v>
                </c:pt>
                <c:pt idx="18">
                  <c:v>3.2893300000000001</c:v>
                </c:pt>
                <c:pt idx="19">
                  <c:v>6.6893200000000004</c:v>
                </c:pt>
                <c:pt idx="20">
                  <c:v>2.7778299999999998</c:v>
                </c:pt>
                <c:pt idx="21">
                  <c:v>2.2797799999999997</c:v>
                </c:pt>
                <c:pt idx="22">
                  <c:v>3.8196999999999997</c:v>
                </c:pt>
                <c:pt idx="23">
                  <c:v>2.0784600000000002</c:v>
                </c:pt>
                <c:pt idx="24">
                  <c:v>1.97984</c:v>
                </c:pt>
                <c:pt idx="25">
                  <c:v>2.13978</c:v>
                </c:pt>
                <c:pt idx="26">
                  <c:v>2.1398999999999999</c:v>
                </c:pt>
                <c:pt idx="27">
                  <c:v>2.1498599999999999</c:v>
                </c:pt>
                <c:pt idx="28">
                  <c:v>6.1076900000000007</c:v>
                </c:pt>
                <c:pt idx="29">
                  <c:v>2.0398399999999999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D-4F80-A02B-62554D5CA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344060"/>
        <c:axId val="1146271611"/>
      </c:lineChart>
      <c:catAx>
        <c:axId val="1940344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46271611"/>
        <c:crosses val="autoZero"/>
        <c:auto val="1"/>
        <c:lblAlgn val="ctr"/>
        <c:lblOffset val="100"/>
        <c:noMultiLvlLbl val="1"/>
      </c:catAx>
      <c:valAx>
        <c:axId val="1146271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40344060"/>
        <c:crosses val="autoZero"/>
        <c:crossBetween val="between"/>
        <c:majorUnit val="2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Op hours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1 Gen 1 with 10%, 17.1% (2)'!$C$6:$C$35</c:f>
              <c:numCache>
                <c:formatCode>h:mm</c:formatCode>
                <c:ptCount val="30"/>
                <c:pt idx="0">
                  <c:v>0.27916666666666667</c:v>
                </c:pt>
                <c:pt idx="1">
                  <c:v>0.3347222222222222</c:v>
                </c:pt>
                <c:pt idx="2">
                  <c:v>0.24722222222222218</c:v>
                </c:pt>
                <c:pt idx="3">
                  <c:v>0.2805555555555555</c:v>
                </c:pt>
                <c:pt idx="4">
                  <c:v>0.27222222222222225</c:v>
                </c:pt>
                <c:pt idx="5">
                  <c:v>0.22152777777777782</c:v>
                </c:pt>
                <c:pt idx="6">
                  <c:v>0.29652777777777778</c:v>
                </c:pt>
                <c:pt idx="7">
                  <c:v>0.27222222222222225</c:v>
                </c:pt>
                <c:pt idx="8">
                  <c:v>0.24791666666666662</c:v>
                </c:pt>
                <c:pt idx="9">
                  <c:v>0.2541666666666666</c:v>
                </c:pt>
                <c:pt idx="10">
                  <c:v>0.22361111111111115</c:v>
                </c:pt>
                <c:pt idx="11">
                  <c:v>0.21527777777777785</c:v>
                </c:pt>
                <c:pt idx="12">
                  <c:v>0.25277777777777777</c:v>
                </c:pt>
                <c:pt idx="13">
                  <c:v>0.2729166666666667</c:v>
                </c:pt>
                <c:pt idx="14">
                  <c:v>0.21944444444444444</c:v>
                </c:pt>
                <c:pt idx="15">
                  <c:v>0.27083333333333326</c:v>
                </c:pt>
                <c:pt idx="16">
                  <c:v>0.18472222222222223</c:v>
                </c:pt>
                <c:pt idx="17">
                  <c:v>0.24166666666666664</c:v>
                </c:pt>
                <c:pt idx="18">
                  <c:v>0.22291666666666671</c:v>
                </c:pt>
                <c:pt idx="19">
                  <c:v>0.21666666666666667</c:v>
                </c:pt>
                <c:pt idx="20">
                  <c:v>0.17777777777777781</c:v>
                </c:pt>
                <c:pt idx="21">
                  <c:v>0.2048611111111111</c:v>
                </c:pt>
                <c:pt idx="22">
                  <c:v>0.21597222222222223</c:v>
                </c:pt>
                <c:pt idx="23">
                  <c:v>0.2277777777777778</c:v>
                </c:pt>
                <c:pt idx="24">
                  <c:v>0.21250000000000002</c:v>
                </c:pt>
                <c:pt idx="25">
                  <c:v>0.23958333333333337</c:v>
                </c:pt>
                <c:pt idx="26">
                  <c:v>0.19930555555555551</c:v>
                </c:pt>
                <c:pt idx="27">
                  <c:v>0.22083333333333338</c:v>
                </c:pt>
                <c:pt idx="28">
                  <c:v>0.25486111111111115</c:v>
                </c:pt>
                <c:pt idx="29">
                  <c:v>0.18958333333333338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3-4B52-9763-33C564C8D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064987"/>
        <c:axId val="1685407193"/>
      </c:lineChart>
      <c:catAx>
        <c:axId val="498064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685407193"/>
        <c:crosses val="autoZero"/>
        <c:auto val="1"/>
        <c:lblAlgn val="ctr"/>
        <c:lblOffset val="100"/>
        <c:noMultiLvlLbl val="1"/>
      </c:catAx>
      <c:valAx>
        <c:axId val="1685407193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498064987"/>
        <c:crosses val="autoZero"/>
        <c:crossBetween val="between"/>
        <c:majorUnit val="4.0000000000000008E-2"/>
        <c:minorUnit val="4.000000000000001E-3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Operating 
Hour Cumulative Gen 1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1 Gen 1 with 10%, 17.1% (2)'!$D$6:$D$35</c:f>
              <c:numCache>
                <c:formatCode>h:mm</c:formatCode>
                <c:ptCount val="30"/>
                <c:pt idx="0">
                  <c:v>0.27916666666666667</c:v>
                </c:pt>
                <c:pt idx="1">
                  <c:v>0.61388888888888893</c:v>
                </c:pt>
                <c:pt idx="2">
                  <c:v>0.86111111111111116</c:v>
                </c:pt>
                <c:pt idx="3" formatCode="[h]:mm">
                  <c:v>1.1416666666666666</c:v>
                </c:pt>
                <c:pt idx="4" formatCode="[h]:mm">
                  <c:v>1.4138888888888888</c:v>
                </c:pt>
                <c:pt idx="5" formatCode="[h]:mm">
                  <c:v>1.6354166666666665</c:v>
                </c:pt>
                <c:pt idx="6" formatCode="[h]:mm">
                  <c:v>1.9319444444444442</c:v>
                </c:pt>
                <c:pt idx="7" formatCode="[h]:mm">
                  <c:v>2.2041666666666666</c:v>
                </c:pt>
                <c:pt idx="8" formatCode="[h]:mm">
                  <c:v>2.4520833333333334</c:v>
                </c:pt>
                <c:pt idx="9" formatCode="[h]:mm">
                  <c:v>2.7062499999999998</c:v>
                </c:pt>
                <c:pt idx="10" formatCode="[h]:mm">
                  <c:v>2.9298611111111108</c:v>
                </c:pt>
                <c:pt idx="11" formatCode="[h]:mm">
                  <c:v>3.1451388888888885</c:v>
                </c:pt>
                <c:pt idx="12" formatCode="[h]:mm">
                  <c:v>3.3979166666666663</c:v>
                </c:pt>
                <c:pt idx="13" formatCode="[h]:mm">
                  <c:v>3.6708333333333329</c:v>
                </c:pt>
                <c:pt idx="14" formatCode="[h]:mm">
                  <c:v>3.8902777777777775</c:v>
                </c:pt>
                <c:pt idx="15" formatCode="[h]:mm">
                  <c:v>4.1611111111111105</c:v>
                </c:pt>
                <c:pt idx="16" formatCode="[h]:mm">
                  <c:v>4.3458333333333332</c:v>
                </c:pt>
                <c:pt idx="17" formatCode="[h]:mm">
                  <c:v>4.5874999999999995</c:v>
                </c:pt>
                <c:pt idx="18" formatCode="[h]:mm">
                  <c:v>4.8104166666666659</c:v>
                </c:pt>
                <c:pt idx="19" formatCode="[h]:mm">
                  <c:v>5.0270833333333327</c:v>
                </c:pt>
                <c:pt idx="20" formatCode="[h]:mm">
                  <c:v>5.2048611111111107</c:v>
                </c:pt>
                <c:pt idx="21" formatCode="[h]:mm">
                  <c:v>5.4097222222222214</c:v>
                </c:pt>
                <c:pt idx="22" formatCode="[h]:mm">
                  <c:v>5.6256944444444432</c:v>
                </c:pt>
                <c:pt idx="23" formatCode="[h]:mm">
                  <c:v>5.8534722222222211</c:v>
                </c:pt>
                <c:pt idx="24" formatCode="[h]:mm">
                  <c:v>6.0659722222222214</c:v>
                </c:pt>
                <c:pt idx="25" formatCode="[h]:mm">
                  <c:v>6.3055555555555545</c:v>
                </c:pt>
                <c:pt idx="26" formatCode="[h]:mm">
                  <c:v>6.5048611111111097</c:v>
                </c:pt>
                <c:pt idx="27" formatCode="[h]:mm">
                  <c:v>6.7256944444444429</c:v>
                </c:pt>
                <c:pt idx="28" formatCode="[h]:mm">
                  <c:v>6.9805555555555543</c:v>
                </c:pt>
                <c:pt idx="29" formatCode="[h]:mm">
                  <c:v>7.1701388888888875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7-4AD9-A8AD-60A332FA9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486159"/>
        <c:axId val="523286848"/>
      </c:lineChart>
      <c:catAx>
        <c:axId val="1154486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23286848"/>
        <c:crosses val="autoZero"/>
        <c:auto val="1"/>
        <c:lblAlgn val="ctr"/>
        <c:lblOffset val="100"/>
        <c:noMultiLvlLbl val="1"/>
      </c:catAx>
      <c:valAx>
        <c:axId val="523286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5448615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Run 1 Gen 1 Cumulative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Run 1 Gen 1</c:v>
          </c:tx>
          <c:spPr>
            <a:ln w="28575" cmpd="sng">
              <a:solidFill>
                <a:srgbClr val="FFC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1 Gen 1 with 10%, 17.1% (2)'!$T$6:$T$35</c:f>
              <c:numCache>
                <c:formatCode>0.00</c:formatCode>
                <c:ptCount val="30"/>
                <c:pt idx="0">
                  <c:v>2.6798900000000003</c:v>
                </c:pt>
                <c:pt idx="1">
                  <c:v>9.3797899999999998</c:v>
                </c:pt>
                <c:pt idx="2">
                  <c:v>14.149089999999999</c:v>
                </c:pt>
                <c:pt idx="3">
                  <c:v>19.648800000000001</c:v>
                </c:pt>
                <c:pt idx="4">
                  <c:v>34.198560000000001</c:v>
                </c:pt>
                <c:pt idx="5">
                  <c:v>37.908549999999998</c:v>
                </c:pt>
                <c:pt idx="6">
                  <c:v>37.908549999999998</c:v>
                </c:pt>
                <c:pt idx="7">
                  <c:v>43.2684</c:v>
                </c:pt>
                <c:pt idx="8">
                  <c:v>47.878169999999997</c:v>
                </c:pt>
                <c:pt idx="9">
                  <c:v>51.937689999999996</c:v>
                </c:pt>
                <c:pt idx="10">
                  <c:v>55.377419999999994</c:v>
                </c:pt>
                <c:pt idx="11">
                  <c:v>59.757019999999997</c:v>
                </c:pt>
                <c:pt idx="12">
                  <c:v>64.866900000000001</c:v>
                </c:pt>
                <c:pt idx="13">
                  <c:v>68.176600000000008</c:v>
                </c:pt>
                <c:pt idx="14">
                  <c:v>70.455500000000001</c:v>
                </c:pt>
                <c:pt idx="15">
                  <c:v>76.295230000000004</c:v>
                </c:pt>
                <c:pt idx="16">
                  <c:v>76.295230000000004</c:v>
                </c:pt>
                <c:pt idx="17">
                  <c:v>80.394490000000005</c:v>
                </c:pt>
                <c:pt idx="18">
                  <c:v>83.683820000000011</c:v>
                </c:pt>
                <c:pt idx="19">
                  <c:v>90.373140000000006</c:v>
                </c:pt>
                <c:pt idx="20">
                  <c:v>93.150970000000001</c:v>
                </c:pt>
                <c:pt idx="21">
                  <c:v>95.430750000000003</c:v>
                </c:pt>
                <c:pt idx="22">
                  <c:v>99.250450000000001</c:v>
                </c:pt>
                <c:pt idx="23">
                  <c:v>101.32891000000001</c:v>
                </c:pt>
                <c:pt idx="24">
                  <c:v>103.30875</c:v>
                </c:pt>
                <c:pt idx="25">
                  <c:v>105.44853000000001</c:v>
                </c:pt>
                <c:pt idx="26">
                  <c:v>107.58843</c:v>
                </c:pt>
                <c:pt idx="27">
                  <c:v>109.73829000000001</c:v>
                </c:pt>
                <c:pt idx="28">
                  <c:v>115.84598000000001</c:v>
                </c:pt>
                <c:pt idx="29">
                  <c:v>117.88582000000001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2-470A-8555-9304E42A2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405953"/>
        <c:axId val="599470497"/>
      </c:lineChart>
      <c:catAx>
        <c:axId val="1096405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99470497"/>
        <c:crosses val="autoZero"/>
        <c:auto val="1"/>
        <c:lblAlgn val="ctr"/>
        <c:lblOffset val="100"/>
        <c:noMultiLvlLbl val="1"/>
      </c:catAx>
      <c:valAx>
        <c:axId val="599470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09640595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Op hours &amp; Run 1 Gen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 Run 1 Gen 1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1 Gen 1 with 10%, 17.1% (2)'!$T$6:$T$35</c:f>
              <c:numCache>
                <c:formatCode>0.00</c:formatCode>
                <c:ptCount val="30"/>
                <c:pt idx="0">
                  <c:v>2.6798900000000003</c:v>
                </c:pt>
                <c:pt idx="1">
                  <c:v>9.3797899999999998</c:v>
                </c:pt>
                <c:pt idx="2">
                  <c:v>14.149089999999999</c:v>
                </c:pt>
                <c:pt idx="3">
                  <c:v>19.648800000000001</c:v>
                </c:pt>
                <c:pt idx="4">
                  <c:v>34.198560000000001</c:v>
                </c:pt>
                <c:pt idx="5">
                  <c:v>37.908549999999998</c:v>
                </c:pt>
                <c:pt idx="6">
                  <c:v>37.908549999999998</c:v>
                </c:pt>
                <c:pt idx="7">
                  <c:v>43.2684</c:v>
                </c:pt>
                <c:pt idx="8">
                  <c:v>47.878169999999997</c:v>
                </c:pt>
                <c:pt idx="9">
                  <c:v>51.937689999999996</c:v>
                </c:pt>
                <c:pt idx="10">
                  <c:v>55.377419999999994</c:v>
                </c:pt>
                <c:pt idx="11">
                  <c:v>59.757019999999997</c:v>
                </c:pt>
                <c:pt idx="12">
                  <c:v>64.866900000000001</c:v>
                </c:pt>
                <c:pt idx="13">
                  <c:v>68.176600000000008</c:v>
                </c:pt>
                <c:pt idx="14">
                  <c:v>70.455500000000001</c:v>
                </c:pt>
                <c:pt idx="15">
                  <c:v>76.295230000000004</c:v>
                </c:pt>
                <c:pt idx="16">
                  <c:v>76.295230000000004</c:v>
                </c:pt>
                <c:pt idx="17">
                  <c:v>80.394490000000005</c:v>
                </c:pt>
                <c:pt idx="18">
                  <c:v>83.683820000000011</c:v>
                </c:pt>
                <c:pt idx="19">
                  <c:v>90.373140000000006</c:v>
                </c:pt>
                <c:pt idx="20">
                  <c:v>93.150970000000001</c:v>
                </c:pt>
                <c:pt idx="21">
                  <c:v>95.430750000000003</c:v>
                </c:pt>
                <c:pt idx="22">
                  <c:v>99.250450000000001</c:v>
                </c:pt>
                <c:pt idx="23">
                  <c:v>101.32891000000001</c:v>
                </c:pt>
                <c:pt idx="24">
                  <c:v>103.30875</c:v>
                </c:pt>
                <c:pt idx="25">
                  <c:v>105.44853000000001</c:v>
                </c:pt>
                <c:pt idx="26">
                  <c:v>107.58843</c:v>
                </c:pt>
                <c:pt idx="27">
                  <c:v>109.73829000000001</c:v>
                </c:pt>
                <c:pt idx="28">
                  <c:v>115.84598000000001</c:v>
                </c:pt>
                <c:pt idx="29">
                  <c:v>117.88582000000001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A-4DB0-A501-FC16B6429F75}"/>
            </c:ext>
          </c:extLst>
        </c:ser>
        <c:ser>
          <c:idx val="1"/>
          <c:order val="1"/>
          <c:tx>
            <c:v>Operating 
Hour Cumulative Gen 1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1 Gen 1 with 10%, 17.1% (2)'!$D$6:$D$35</c:f>
              <c:numCache>
                <c:formatCode>h:mm</c:formatCode>
                <c:ptCount val="30"/>
                <c:pt idx="0">
                  <c:v>0.27916666666666667</c:v>
                </c:pt>
                <c:pt idx="1">
                  <c:v>0.61388888888888893</c:v>
                </c:pt>
                <c:pt idx="2">
                  <c:v>0.86111111111111116</c:v>
                </c:pt>
                <c:pt idx="3" formatCode="[h]:mm">
                  <c:v>1.1416666666666666</c:v>
                </c:pt>
                <c:pt idx="4" formatCode="[h]:mm">
                  <c:v>1.4138888888888888</c:v>
                </c:pt>
                <c:pt idx="5" formatCode="[h]:mm">
                  <c:v>1.6354166666666665</c:v>
                </c:pt>
                <c:pt idx="6" formatCode="[h]:mm">
                  <c:v>1.9319444444444442</c:v>
                </c:pt>
                <c:pt idx="7" formatCode="[h]:mm">
                  <c:v>2.2041666666666666</c:v>
                </c:pt>
                <c:pt idx="8" formatCode="[h]:mm">
                  <c:v>2.4520833333333334</c:v>
                </c:pt>
                <c:pt idx="9" formatCode="[h]:mm">
                  <c:v>2.7062499999999998</c:v>
                </c:pt>
                <c:pt idx="10" formatCode="[h]:mm">
                  <c:v>2.9298611111111108</c:v>
                </c:pt>
                <c:pt idx="11" formatCode="[h]:mm">
                  <c:v>3.1451388888888885</c:v>
                </c:pt>
                <c:pt idx="12" formatCode="[h]:mm">
                  <c:v>3.3979166666666663</c:v>
                </c:pt>
                <c:pt idx="13" formatCode="[h]:mm">
                  <c:v>3.6708333333333329</c:v>
                </c:pt>
                <c:pt idx="14" formatCode="[h]:mm">
                  <c:v>3.8902777777777775</c:v>
                </c:pt>
                <c:pt idx="15" formatCode="[h]:mm">
                  <c:v>4.1611111111111105</c:v>
                </c:pt>
                <c:pt idx="16" formatCode="[h]:mm">
                  <c:v>4.3458333333333332</c:v>
                </c:pt>
                <c:pt idx="17" formatCode="[h]:mm">
                  <c:v>4.5874999999999995</c:v>
                </c:pt>
                <c:pt idx="18" formatCode="[h]:mm">
                  <c:v>4.8104166666666659</c:v>
                </c:pt>
                <c:pt idx="19" formatCode="[h]:mm">
                  <c:v>5.0270833333333327</c:v>
                </c:pt>
                <c:pt idx="20" formatCode="[h]:mm">
                  <c:v>5.2048611111111107</c:v>
                </c:pt>
                <c:pt idx="21" formatCode="[h]:mm">
                  <c:v>5.4097222222222214</c:v>
                </c:pt>
                <c:pt idx="22" formatCode="[h]:mm">
                  <c:v>5.6256944444444432</c:v>
                </c:pt>
                <c:pt idx="23" formatCode="[h]:mm">
                  <c:v>5.8534722222222211</c:v>
                </c:pt>
                <c:pt idx="24" formatCode="[h]:mm">
                  <c:v>6.0659722222222214</c:v>
                </c:pt>
                <c:pt idx="25" formatCode="[h]:mm">
                  <c:v>6.3055555555555545</c:v>
                </c:pt>
                <c:pt idx="26" formatCode="[h]:mm">
                  <c:v>6.5048611111111097</c:v>
                </c:pt>
                <c:pt idx="27" formatCode="[h]:mm">
                  <c:v>6.7256944444444429</c:v>
                </c:pt>
                <c:pt idx="28" formatCode="[h]:mm">
                  <c:v>6.9805555555555543</c:v>
                </c:pt>
                <c:pt idx="29" formatCode="[h]:mm">
                  <c:v>7.1701388888888875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8A-4DB0-A501-FC16B6429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76964"/>
        <c:axId val="1956467169"/>
      </c:lineChart>
      <c:catAx>
        <c:axId val="462876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956467169"/>
        <c:crosses val="autoZero"/>
        <c:auto val="1"/>
        <c:lblAlgn val="ctr"/>
        <c:lblOffset val="100"/>
        <c:noMultiLvlLbl val="1"/>
      </c:catAx>
      <c:valAx>
        <c:axId val="1956467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4628769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Co2 Captured Gen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14.9</c:v>
          </c:tx>
          <c:spPr>
            <a:ln w="28575" cmpd="sng">
              <a:solidFill>
                <a:srgbClr val="FFC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'Run 1 Gen 1 with 10%, 17.1% (2)'!$T$6:$T$35</c:f>
              <c:numCache>
                <c:formatCode>0.00</c:formatCode>
                <c:ptCount val="30"/>
                <c:pt idx="0">
                  <c:v>2.6798900000000003</c:v>
                </c:pt>
                <c:pt idx="1">
                  <c:v>9.3797899999999998</c:v>
                </c:pt>
                <c:pt idx="2">
                  <c:v>14.149089999999999</c:v>
                </c:pt>
                <c:pt idx="3">
                  <c:v>19.648800000000001</c:v>
                </c:pt>
                <c:pt idx="4">
                  <c:v>34.198560000000001</c:v>
                </c:pt>
                <c:pt idx="5">
                  <c:v>37.908549999999998</c:v>
                </c:pt>
                <c:pt idx="6">
                  <c:v>37.908549999999998</c:v>
                </c:pt>
                <c:pt idx="7">
                  <c:v>43.2684</c:v>
                </c:pt>
                <c:pt idx="8">
                  <c:v>47.878169999999997</c:v>
                </c:pt>
                <c:pt idx="9">
                  <c:v>51.937689999999996</c:v>
                </c:pt>
                <c:pt idx="10">
                  <c:v>55.377419999999994</c:v>
                </c:pt>
                <c:pt idx="11">
                  <c:v>59.757019999999997</c:v>
                </c:pt>
                <c:pt idx="12">
                  <c:v>64.866900000000001</c:v>
                </c:pt>
                <c:pt idx="13">
                  <c:v>68.176600000000008</c:v>
                </c:pt>
                <c:pt idx="14">
                  <c:v>70.455500000000001</c:v>
                </c:pt>
                <c:pt idx="15">
                  <c:v>76.295230000000004</c:v>
                </c:pt>
                <c:pt idx="16">
                  <c:v>76.295230000000004</c:v>
                </c:pt>
                <c:pt idx="17">
                  <c:v>80.394490000000005</c:v>
                </c:pt>
                <c:pt idx="18">
                  <c:v>83.683820000000011</c:v>
                </c:pt>
                <c:pt idx="19">
                  <c:v>90.373140000000006</c:v>
                </c:pt>
                <c:pt idx="20">
                  <c:v>93.150970000000001</c:v>
                </c:pt>
                <c:pt idx="21">
                  <c:v>95.430750000000003</c:v>
                </c:pt>
                <c:pt idx="22">
                  <c:v>99.250450000000001</c:v>
                </c:pt>
                <c:pt idx="23">
                  <c:v>101.32891000000001</c:v>
                </c:pt>
                <c:pt idx="24">
                  <c:v>103.30875</c:v>
                </c:pt>
                <c:pt idx="25">
                  <c:v>105.44853000000001</c:v>
                </c:pt>
                <c:pt idx="26">
                  <c:v>107.58843</c:v>
                </c:pt>
                <c:pt idx="27">
                  <c:v>109.73829000000001</c:v>
                </c:pt>
                <c:pt idx="28">
                  <c:v>115.84598000000001</c:v>
                </c:pt>
                <c:pt idx="29">
                  <c:v>117.88582000000001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7-4536-8CEE-5E30F7F391F6}"/>
            </c:ext>
          </c:extLst>
        </c:ser>
        <c:ser>
          <c:idx val="1"/>
          <c:order val="1"/>
          <c:tx>
            <c:v>Min 10%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1 Gen 1 with 10%, 17.1% (2)'!$AM$6:$AM$35</c:f>
              <c:numCache>
                <c:formatCode>General</c:formatCode>
                <c:ptCount val="30"/>
                <c:pt idx="0">
                  <c:v>2.65</c:v>
                </c:pt>
                <c:pt idx="1">
                  <c:v>9.2799999999999994</c:v>
                </c:pt>
                <c:pt idx="2">
                  <c:v>14</c:v>
                </c:pt>
                <c:pt idx="3">
                  <c:v>19.45</c:v>
                </c:pt>
                <c:pt idx="4">
                  <c:v>33.86</c:v>
                </c:pt>
                <c:pt idx="5">
                  <c:v>37.54</c:v>
                </c:pt>
                <c:pt idx="6">
                  <c:v>37.54</c:v>
                </c:pt>
                <c:pt idx="7">
                  <c:v>42.85</c:v>
                </c:pt>
                <c:pt idx="8">
                  <c:v>47.410000000000004</c:v>
                </c:pt>
                <c:pt idx="9">
                  <c:v>51.430000000000007</c:v>
                </c:pt>
                <c:pt idx="10">
                  <c:v>54.830000000000005</c:v>
                </c:pt>
                <c:pt idx="11">
                  <c:v>59.160000000000004</c:v>
                </c:pt>
                <c:pt idx="12">
                  <c:v>64.22</c:v>
                </c:pt>
                <c:pt idx="13">
                  <c:v>67.5</c:v>
                </c:pt>
                <c:pt idx="14">
                  <c:v>69.760000000000005</c:v>
                </c:pt>
                <c:pt idx="15">
                  <c:v>75.550000000000011</c:v>
                </c:pt>
                <c:pt idx="16">
                  <c:v>75.550000000000011</c:v>
                </c:pt>
                <c:pt idx="17">
                  <c:v>79.610000000000014</c:v>
                </c:pt>
                <c:pt idx="18">
                  <c:v>82.870000000000019</c:v>
                </c:pt>
                <c:pt idx="19">
                  <c:v>89.500000000000014</c:v>
                </c:pt>
                <c:pt idx="20">
                  <c:v>92.250000000000014</c:v>
                </c:pt>
                <c:pt idx="21">
                  <c:v>94.500000000000014</c:v>
                </c:pt>
                <c:pt idx="22">
                  <c:v>98.280000000000015</c:v>
                </c:pt>
                <c:pt idx="23">
                  <c:v>100.34000000000002</c:v>
                </c:pt>
                <c:pt idx="24">
                  <c:v>102.30000000000001</c:v>
                </c:pt>
                <c:pt idx="25">
                  <c:v>104.42000000000002</c:v>
                </c:pt>
                <c:pt idx="26">
                  <c:v>106.53000000000002</c:v>
                </c:pt>
                <c:pt idx="27">
                  <c:v>108.66000000000001</c:v>
                </c:pt>
                <c:pt idx="28">
                  <c:v>114.71000000000001</c:v>
                </c:pt>
                <c:pt idx="29">
                  <c:v>116.73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67-4536-8CEE-5E30F7F391F6}"/>
            </c:ext>
          </c:extLst>
        </c:ser>
        <c:ser>
          <c:idx val="2"/>
          <c:order val="2"/>
          <c:tx>
            <c:v>Max 17.1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'Run 1 Gen 1 with 10%, 17.1% (2)'!$AP$6:$AP$35</c:f>
              <c:numCache>
                <c:formatCode>General</c:formatCode>
                <c:ptCount val="30"/>
                <c:pt idx="0">
                  <c:v>4.53</c:v>
                </c:pt>
                <c:pt idx="1">
                  <c:v>15.870000000000001</c:v>
                </c:pt>
                <c:pt idx="2">
                  <c:v>23.950000000000003</c:v>
                </c:pt>
                <c:pt idx="3">
                  <c:v>33.260000000000005</c:v>
                </c:pt>
                <c:pt idx="4">
                  <c:v>57.900000000000006</c:v>
                </c:pt>
                <c:pt idx="5">
                  <c:v>64.190000000000012</c:v>
                </c:pt>
                <c:pt idx="6">
                  <c:v>64.190000000000012</c:v>
                </c:pt>
                <c:pt idx="7">
                  <c:v>73.260000000000019</c:v>
                </c:pt>
                <c:pt idx="8">
                  <c:v>81.060000000000016</c:v>
                </c:pt>
                <c:pt idx="9">
                  <c:v>87.930000000000021</c:v>
                </c:pt>
                <c:pt idx="10">
                  <c:v>93.750000000000028</c:v>
                </c:pt>
                <c:pt idx="11">
                  <c:v>101.16000000000003</c:v>
                </c:pt>
                <c:pt idx="12">
                  <c:v>109.81000000000003</c:v>
                </c:pt>
                <c:pt idx="13">
                  <c:v>115.42000000000003</c:v>
                </c:pt>
                <c:pt idx="14">
                  <c:v>119.29000000000003</c:v>
                </c:pt>
                <c:pt idx="15">
                  <c:v>129.18000000000004</c:v>
                </c:pt>
                <c:pt idx="16">
                  <c:v>129.18000000000004</c:v>
                </c:pt>
                <c:pt idx="17">
                  <c:v>136.12000000000003</c:v>
                </c:pt>
                <c:pt idx="18">
                  <c:v>141.69000000000003</c:v>
                </c:pt>
                <c:pt idx="19">
                  <c:v>153.02000000000004</c:v>
                </c:pt>
                <c:pt idx="20">
                  <c:v>157.73000000000005</c:v>
                </c:pt>
                <c:pt idx="21">
                  <c:v>161.58000000000004</c:v>
                </c:pt>
                <c:pt idx="22">
                  <c:v>168.05000000000004</c:v>
                </c:pt>
                <c:pt idx="23">
                  <c:v>171.57000000000005</c:v>
                </c:pt>
                <c:pt idx="24">
                  <c:v>174.93000000000006</c:v>
                </c:pt>
                <c:pt idx="25">
                  <c:v>178.55000000000007</c:v>
                </c:pt>
                <c:pt idx="26">
                  <c:v>182.17000000000007</c:v>
                </c:pt>
                <c:pt idx="27">
                  <c:v>185.81000000000006</c:v>
                </c:pt>
                <c:pt idx="28">
                  <c:v>196.15000000000006</c:v>
                </c:pt>
                <c:pt idx="29">
                  <c:v>199.61000000000007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67-4536-8CEE-5E30F7F391F6}"/>
            </c:ext>
          </c:extLst>
        </c:ser>
        <c:ser>
          <c:idx val="3"/>
          <c:order val="3"/>
          <c:tx>
            <c:v>Co2 captured per cycle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'Run 1 Gen 1 with 10%, 17.1% (2)'!$Q$6:$Q$35</c:f>
              <c:numCache>
                <c:formatCode>0.00</c:formatCode>
                <c:ptCount val="30"/>
                <c:pt idx="0">
                  <c:v>2.6798900000000003</c:v>
                </c:pt>
                <c:pt idx="1">
                  <c:v>6.6999000000000004</c:v>
                </c:pt>
                <c:pt idx="2">
                  <c:v>4.7692999999999994</c:v>
                </c:pt>
                <c:pt idx="3">
                  <c:v>5.4997100000000003</c:v>
                </c:pt>
                <c:pt idx="4">
                  <c:v>14.549760000000001</c:v>
                </c:pt>
                <c:pt idx="5">
                  <c:v>3.7099899999999999</c:v>
                </c:pt>
                <c:pt idx="6">
                  <c:v>0</c:v>
                </c:pt>
                <c:pt idx="7">
                  <c:v>5.3598500000000007</c:v>
                </c:pt>
                <c:pt idx="8">
                  <c:v>4.6097700000000001</c:v>
                </c:pt>
                <c:pt idx="9">
                  <c:v>4.05952</c:v>
                </c:pt>
                <c:pt idx="10">
                  <c:v>3.43973</c:v>
                </c:pt>
                <c:pt idx="11">
                  <c:v>4.3795999999999999</c:v>
                </c:pt>
                <c:pt idx="12">
                  <c:v>5.1098800000000004</c:v>
                </c:pt>
                <c:pt idx="13">
                  <c:v>3.3096999999999999</c:v>
                </c:pt>
                <c:pt idx="14">
                  <c:v>2.2788999999999997</c:v>
                </c:pt>
                <c:pt idx="15">
                  <c:v>5.8397299999999994</c:v>
                </c:pt>
                <c:pt idx="16">
                  <c:v>0</c:v>
                </c:pt>
                <c:pt idx="17">
                  <c:v>4.0992599999999992</c:v>
                </c:pt>
                <c:pt idx="18">
                  <c:v>3.2893300000000001</c:v>
                </c:pt>
                <c:pt idx="19">
                  <c:v>6.6893200000000004</c:v>
                </c:pt>
                <c:pt idx="20">
                  <c:v>2.7778299999999998</c:v>
                </c:pt>
                <c:pt idx="21">
                  <c:v>2.2797799999999997</c:v>
                </c:pt>
                <c:pt idx="22">
                  <c:v>3.8196999999999997</c:v>
                </c:pt>
                <c:pt idx="23">
                  <c:v>2.0784600000000002</c:v>
                </c:pt>
                <c:pt idx="24">
                  <c:v>1.97984</c:v>
                </c:pt>
                <c:pt idx="25">
                  <c:v>2.13978</c:v>
                </c:pt>
                <c:pt idx="26">
                  <c:v>2.1398999999999999</c:v>
                </c:pt>
                <c:pt idx="27">
                  <c:v>2.1498599999999999</c:v>
                </c:pt>
                <c:pt idx="28">
                  <c:v>6.1076900000000007</c:v>
                </c:pt>
                <c:pt idx="29">
                  <c:v>2.0398399999999999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67-4536-8CEE-5E30F7F39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979552"/>
        <c:axId val="758803249"/>
      </c:lineChart>
      <c:catAx>
        <c:axId val="145897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758803249"/>
        <c:crosses val="autoZero"/>
        <c:auto val="1"/>
        <c:lblAlgn val="ctr"/>
        <c:lblOffset val="100"/>
        <c:noMultiLvlLbl val="1"/>
      </c:catAx>
      <c:valAx>
        <c:axId val="758803249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45897955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Op hours &amp; Run 2 Gen 1+2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Co2 Captured Run 2 Gen 1+2 Cumulative (Kg)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'Run 2 Gen 1+2'!$N$5:$N$18</c:f>
              <c:numCache>
                <c:formatCode>0.00</c:formatCode>
                <c:ptCount val="14"/>
                <c:pt idx="0">
                  <c:v>4.0999974880268466</c:v>
                </c:pt>
                <c:pt idx="1">
                  <c:v>11.109911489083856</c:v>
                </c:pt>
                <c:pt idx="2">
                  <c:v>17.299847746051181</c:v>
                </c:pt>
                <c:pt idx="3">
                  <c:v>21.018929017067318</c:v>
                </c:pt>
                <c:pt idx="4">
                  <c:v>26.048457925923461</c:v>
                </c:pt>
                <c:pt idx="5">
                  <c:v>34.818452809141291</c:v>
                </c:pt>
                <c:pt idx="6">
                  <c:v>44.2884484361266</c:v>
                </c:pt>
                <c:pt idx="7">
                  <c:v>53.368442793229931</c:v>
                </c:pt>
                <c:pt idx="8">
                  <c:v>63.238438329719827</c:v>
                </c:pt>
                <c:pt idx="9">
                  <c:v>69.018436942043806</c:v>
                </c:pt>
                <c:pt idx="10">
                  <c:v>69.918435663844363</c:v>
                </c:pt>
                <c:pt idx="11">
                  <c:v>78.276434590289938</c:v>
                </c:pt>
                <c:pt idx="12">
                  <c:v>80.373015486457021</c:v>
                </c:pt>
                <c:pt idx="13">
                  <c:v>80.629639861253054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F-4904-9C7D-B40099E9D959}"/>
            </c:ext>
          </c:extLst>
        </c:ser>
        <c:ser>
          <c:idx val="1"/>
          <c:order val="1"/>
          <c:tx>
            <c:v>Operating 
Hour Cumulative Gen 1+2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'Run 2 Gen 1+2'!$D$4:$D$18</c:f>
              <c:numCache>
                <c:formatCode>h:mm</c:formatCode>
                <c:ptCount val="15"/>
                <c:pt idx="1">
                  <c:v>0.22777777777777777</c:v>
                </c:pt>
                <c:pt idx="2" formatCode="[h]:mm">
                  <c:v>0.45277777777777772</c:v>
                </c:pt>
                <c:pt idx="3" formatCode="[h]:mm">
                  <c:v>0.76527777777777772</c:v>
                </c:pt>
                <c:pt idx="4" formatCode="[h]:mm">
                  <c:v>0.9819444444444444</c:v>
                </c:pt>
                <c:pt idx="5" formatCode="[h]:mm">
                  <c:v>1.2020833333333334</c:v>
                </c:pt>
                <c:pt idx="6" formatCode="[h]:mm">
                  <c:v>1.4715277777777778</c:v>
                </c:pt>
                <c:pt idx="7" formatCode="[h]:mm">
                  <c:v>1.7597222222222222</c:v>
                </c:pt>
                <c:pt idx="8" formatCode="[h]:mm">
                  <c:v>2.0298611111111109</c:v>
                </c:pt>
                <c:pt idx="9" formatCode="[h]:mm">
                  <c:v>2.2937499999999997</c:v>
                </c:pt>
                <c:pt idx="10" formatCode="[h]:mm">
                  <c:v>2.5284722222222218</c:v>
                </c:pt>
                <c:pt idx="11" formatCode="[h]:mm">
                  <c:v>2.7812499999999996</c:v>
                </c:pt>
                <c:pt idx="12" formatCode="[h]:mm">
                  <c:v>3.0368055555555551</c:v>
                </c:pt>
                <c:pt idx="13" formatCode="[h]:mm">
                  <c:v>3.2680555555555548</c:v>
                </c:pt>
                <c:pt idx="14" formatCode="[h]:mm">
                  <c:v>3.4756944444444438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F-4904-9C7D-B40099E9D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150465"/>
        <c:axId val="1569473164"/>
      </c:lineChart>
      <c:catAx>
        <c:axId val="2067150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569473164"/>
        <c:crosses val="autoZero"/>
        <c:auto val="1"/>
        <c:lblAlgn val="ctr"/>
        <c:lblOffset val="100"/>
        <c:noMultiLvlLbl val="1"/>
      </c:catAx>
      <c:valAx>
        <c:axId val="1569473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206715046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Operating 
Hour Cumulative Gen 1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Reserved!#REF!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6-4D1A-9244-32708347A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10002"/>
        <c:axId val="426236990"/>
      </c:lineChart>
      <c:catAx>
        <c:axId val="98911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426236990"/>
        <c:crosses val="autoZero"/>
        <c:auto val="1"/>
        <c:lblAlgn val="ctr"/>
        <c:lblOffset val="100"/>
        <c:noMultiLvlLbl val="1"/>
      </c:catAx>
      <c:valAx>
        <c:axId val="426236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h]:m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98911000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Cumulative carbon captured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 Run 1 Gen 1</c:v>
          </c:tx>
          <c:spPr>
            <a:ln w="28575" cmpd="sng">
              <a:solidFill>
                <a:srgbClr val="FFC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Reserved!#REF!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9-4E4C-A2DB-83C8FA1D0714}"/>
            </c:ext>
          </c:extLst>
        </c:ser>
        <c:ser>
          <c:idx val="1"/>
          <c:order val="1"/>
          <c:tx>
            <c:v>Co2 Captured Run 2 Gen 1+2 Cumulative (Kg)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'Run 2 Gen 1+2'!$N$5:$N$18</c:f>
              <c:numCache>
                <c:formatCode>0.00</c:formatCode>
                <c:ptCount val="14"/>
                <c:pt idx="0">
                  <c:v>4.0999974880268466</c:v>
                </c:pt>
                <c:pt idx="1">
                  <c:v>11.109911489083856</c:v>
                </c:pt>
                <c:pt idx="2">
                  <c:v>17.299847746051181</c:v>
                </c:pt>
                <c:pt idx="3">
                  <c:v>21.018929017067318</c:v>
                </c:pt>
                <c:pt idx="4">
                  <c:v>26.048457925923461</c:v>
                </c:pt>
                <c:pt idx="5">
                  <c:v>34.818452809141291</c:v>
                </c:pt>
                <c:pt idx="6">
                  <c:v>44.2884484361266</c:v>
                </c:pt>
                <c:pt idx="7">
                  <c:v>53.368442793229931</c:v>
                </c:pt>
                <c:pt idx="8">
                  <c:v>63.238438329719827</c:v>
                </c:pt>
                <c:pt idx="9">
                  <c:v>69.018436942043806</c:v>
                </c:pt>
                <c:pt idx="10">
                  <c:v>69.918435663844363</c:v>
                </c:pt>
                <c:pt idx="11">
                  <c:v>78.276434590289938</c:v>
                </c:pt>
                <c:pt idx="12">
                  <c:v>80.373015486457021</c:v>
                </c:pt>
                <c:pt idx="13">
                  <c:v>80.629639861253054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9-4E4C-A2DB-83C8FA1D0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426008"/>
        <c:axId val="699368312"/>
      </c:lineChart>
      <c:catAx>
        <c:axId val="596426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99368312"/>
        <c:crosses val="autoZero"/>
        <c:auto val="1"/>
        <c:lblAlgn val="ctr"/>
        <c:lblOffset val="100"/>
        <c:noMultiLvlLbl val="1"/>
      </c:catAx>
      <c:valAx>
        <c:axId val="699368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964260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13" Type="http://schemas.openxmlformats.org/officeDocument/2006/relationships/chart" Target="../charts/chart65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12" Type="http://schemas.openxmlformats.org/officeDocument/2006/relationships/chart" Target="../charts/chart64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chart" Target="../charts/chart57.xml"/><Relationship Id="rId10" Type="http://schemas.openxmlformats.org/officeDocument/2006/relationships/chart" Target="../charts/chart62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2.xml"/><Relationship Id="rId3" Type="http://schemas.openxmlformats.org/officeDocument/2006/relationships/chart" Target="../charts/chart77.xml"/><Relationship Id="rId7" Type="http://schemas.openxmlformats.org/officeDocument/2006/relationships/chart" Target="../charts/chart81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5" Type="http://schemas.openxmlformats.org/officeDocument/2006/relationships/chart" Target="../charts/chart79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1.xml"/><Relationship Id="rId13" Type="http://schemas.openxmlformats.org/officeDocument/2006/relationships/chart" Target="../charts/chart96.xml"/><Relationship Id="rId3" Type="http://schemas.openxmlformats.org/officeDocument/2006/relationships/chart" Target="../charts/chart86.xml"/><Relationship Id="rId7" Type="http://schemas.openxmlformats.org/officeDocument/2006/relationships/chart" Target="../charts/chart90.xml"/><Relationship Id="rId12" Type="http://schemas.openxmlformats.org/officeDocument/2006/relationships/chart" Target="../charts/chart95.xml"/><Relationship Id="rId2" Type="http://schemas.openxmlformats.org/officeDocument/2006/relationships/chart" Target="../charts/chart85.xml"/><Relationship Id="rId1" Type="http://schemas.openxmlformats.org/officeDocument/2006/relationships/chart" Target="../charts/chart84.xml"/><Relationship Id="rId6" Type="http://schemas.openxmlformats.org/officeDocument/2006/relationships/chart" Target="../charts/chart89.xml"/><Relationship Id="rId11" Type="http://schemas.openxmlformats.org/officeDocument/2006/relationships/chart" Target="../charts/chart94.xml"/><Relationship Id="rId5" Type="http://schemas.openxmlformats.org/officeDocument/2006/relationships/chart" Target="../charts/chart88.xml"/><Relationship Id="rId10" Type="http://schemas.openxmlformats.org/officeDocument/2006/relationships/chart" Target="../charts/chart93.xml"/><Relationship Id="rId4" Type="http://schemas.openxmlformats.org/officeDocument/2006/relationships/chart" Target="../charts/chart87.xml"/><Relationship Id="rId9" Type="http://schemas.openxmlformats.org/officeDocument/2006/relationships/chart" Target="../charts/chart92.xml"/><Relationship Id="rId14" Type="http://schemas.openxmlformats.org/officeDocument/2006/relationships/chart" Target="../charts/chart9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5.xml"/><Relationship Id="rId3" Type="http://schemas.openxmlformats.org/officeDocument/2006/relationships/chart" Target="../charts/chart100.xml"/><Relationship Id="rId7" Type="http://schemas.openxmlformats.org/officeDocument/2006/relationships/chart" Target="../charts/chart104.xml"/><Relationship Id="rId12" Type="http://schemas.openxmlformats.org/officeDocument/2006/relationships/chart" Target="../charts/chart109.xml"/><Relationship Id="rId2" Type="http://schemas.openxmlformats.org/officeDocument/2006/relationships/chart" Target="../charts/chart99.xml"/><Relationship Id="rId1" Type="http://schemas.openxmlformats.org/officeDocument/2006/relationships/chart" Target="../charts/chart98.xml"/><Relationship Id="rId6" Type="http://schemas.openxmlformats.org/officeDocument/2006/relationships/chart" Target="../charts/chart103.xml"/><Relationship Id="rId11" Type="http://schemas.openxmlformats.org/officeDocument/2006/relationships/chart" Target="../charts/chart108.xml"/><Relationship Id="rId5" Type="http://schemas.openxmlformats.org/officeDocument/2006/relationships/chart" Target="../charts/chart102.xml"/><Relationship Id="rId10" Type="http://schemas.openxmlformats.org/officeDocument/2006/relationships/chart" Target="../charts/chart107.xml"/><Relationship Id="rId4" Type="http://schemas.openxmlformats.org/officeDocument/2006/relationships/chart" Target="../charts/chart101.xml"/><Relationship Id="rId9" Type="http://schemas.openxmlformats.org/officeDocument/2006/relationships/chart" Target="../charts/chart10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2.xml"/><Relationship Id="rId2" Type="http://schemas.openxmlformats.org/officeDocument/2006/relationships/chart" Target="../charts/chart111.xml"/><Relationship Id="rId1" Type="http://schemas.openxmlformats.org/officeDocument/2006/relationships/chart" Target="../charts/chart110.xml"/><Relationship Id="rId4" Type="http://schemas.openxmlformats.org/officeDocument/2006/relationships/chart" Target="../charts/chart11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1.xml"/><Relationship Id="rId13" Type="http://schemas.openxmlformats.org/officeDocument/2006/relationships/chart" Target="../charts/chart126.xml"/><Relationship Id="rId3" Type="http://schemas.openxmlformats.org/officeDocument/2006/relationships/chart" Target="../charts/chart116.xml"/><Relationship Id="rId7" Type="http://schemas.openxmlformats.org/officeDocument/2006/relationships/chart" Target="../charts/chart120.xml"/><Relationship Id="rId12" Type="http://schemas.openxmlformats.org/officeDocument/2006/relationships/chart" Target="../charts/chart125.xml"/><Relationship Id="rId2" Type="http://schemas.openxmlformats.org/officeDocument/2006/relationships/chart" Target="../charts/chart115.xml"/><Relationship Id="rId1" Type="http://schemas.openxmlformats.org/officeDocument/2006/relationships/chart" Target="../charts/chart114.xml"/><Relationship Id="rId6" Type="http://schemas.openxmlformats.org/officeDocument/2006/relationships/chart" Target="../charts/chart119.xml"/><Relationship Id="rId11" Type="http://schemas.openxmlformats.org/officeDocument/2006/relationships/chart" Target="../charts/chart124.xml"/><Relationship Id="rId5" Type="http://schemas.openxmlformats.org/officeDocument/2006/relationships/chart" Target="../charts/chart118.xml"/><Relationship Id="rId10" Type="http://schemas.openxmlformats.org/officeDocument/2006/relationships/chart" Target="../charts/chart123.xml"/><Relationship Id="rId4" Type="http://schemas.openxmlformats.org/officeDocument/2006/relationships/chart" Target="../charts/chart117.xml"/><Relationship Id="rId9" Type="http://schemas.openxmlformats.org/officeDocument/2006/relationships/chart" Target="../charts/chart1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0.xml"/><Relationship Id="rId2" Type="http://schemas.openxmlformats.org/officeDocument/2006/relationships/chart" Target="../charts/chart129.xml"/><Relationship Id="rId1" Type="http://schemas.openxmlformats.org/officeDocument/2006/relationships/chart" Target="../charts/chart128.xml"/><Relationship Id="rId4" Type="http://schemas.openxmlformats.org/officeDocument/2006/relationships/chart" Target="../charts/chart13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4.xml"/><Relationship Id="rId7" Type="http://schemas.openxmlformats.org/officeDocument/2006/relationships/chart" Target="../charts/chart138.xml"/><Relationship Id="rId2" Type="http://schemas.openxmlformats.org/officeDocument/2006/relationships/chart" Target="../charts/chart133.xml"/><Relationship Id="rId1" Type="http://schemas.openxmlformats.org/officeDocument/2006/relationships/chart" Target="../charts/chart132.xml"/><Relationship Id="rId6" Type="http://schemas.openxmlformats.org/officeDocument/2006/relationships/chart" Target="../charts/chart137.xml"/><Relationship Id="rId5" Type="http://schemas.openxmlformats.org/officeDocument/2006/relationships/chart" Target="../charts/chart136.xml"/><Relationship Id="rId4" Type="http://schemas.openxmlformats.org/officeDocument/2006/relationships/chart" Target="../charts/chart13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1.xml"/><Relationship Id="rId2" Type="http://schemas.openxmlformats.org/officeDocument/2006/relationships/chart" Target="../charts/chart140.xml"/><Relationship Id="rId1" Type="http://schemas.openxmlformats.org/officeDocument/2006/relationships/chart" Target="../charts/chart1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127164</xdr:colOff>
      <xdr:row>75</xdr:row>
      <xdr:rowOff>184908</xdr:rowOff>
    </xdr:from>
    <xdr:ext cx="8334000" cy="4723200"/>
    <xdr:graphicFrame macro="">
      <xdr:nvGraphicFramePr>
        <xdr:cNvPr id="1703231201" name="Chart 8">
          <a:extLst>
            <a:ext uri="{FF2B5EF4-FFF2-40B4-BE49-F238E27FC236}">
              <a16:creationId xmlns:a16="http://schemas.microsoft.com/office/drawing/2014/main" id="{00000000-0008-0000-0100-0000E13E8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436108</xdr:colOff>
      <xdr:row>129</xdr:row>
      <xdr:rowOff>76200</xdr:rowOff>
    </xdr:from>
    <xdr:ext cx="8334000" cy="4723200"/>
    <xdr:graphicFrame macro="">
      <xdr:nvGraphicFramePr>
        <xdr:cNvPr id="1920391636" name="Chart 9">
          <a:extLst>
            <a:ext uri="{FF2B5EF4-FFF2-40B4-BE49-F238E27FC236}">
              <a16:creationId xmlns:a16="http://schemas.microsoft.com/office/drawing/2014/main" id="{00000000-0008-0000-0100-0000D4D97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569002</xdr:colOff>
      <xdr:row>45</xdr:row>
      <xdr:rowOff>163174</xdr:rowOff>
    </xdr:from>
    <xdr:ext cx="8334000" cy="4723200"/>
    <xdr:graphicFrame macro="">
      <xdr:nvGraphicFramePr>
        <xdr:cNvPr id="564857446" name="Chart 10">
          <a:extLst>
            <a:ext uri="{FF2B5EF4-FFF2-40B4-BE49-F238E27FC236}">
              <a16:creationId xmlns:a16="http://schemas.microsoft.com/office/drawing/2014/main" id="{00000000-0008-0000-0100-0000660AA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466725</xdr:colOff>
      <xdr:row>102</xdr:row>
      <xdr:rowOff>45954</xdr:rowOff>
    </xdr:from>
    <xdr:ext cx="8334000" cy="4723200"/>
    <xdr:graphicFrame macro="">
      <xdr:nvGraphicFramePr>
        <xdr:cNvPr id="2102778287" name="Chart 12">
          <a:extLst>
            <a:ext uri="{FF2B5EF4-FFF2-40B4-BE49-F238E27FC236}">
              <a16:creationId xmlns:a16="http://schemas.microsoft.com/office/drawing/2014/main" id="{00000000-0008-0000-0100-0000AFD95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23</xdr:col>
      <xdr:colOff>576695</xdr:colOff>
      <xdr:row>129</xdr:row>
      <xdr:rowOff>76200</xdr:rowOff>
    </xdr:from>
    <xdr:ext cx="8334000" cy="4723200"/>
    <xdr:graphicFrame macro="">
      <xdr:nvGraphicFramePr>
        <xdr:cNvPr id="655725066" name="Chart 13">
          <a:extLst>
            <a:ext uri="{FF2B5EF4-FFF2-40B4-BE49-F238E27FC236}">
              <a16:creationId xmlns:a16="http://schemas.microsoft.com/office/drawing/2014/main" id="{00000000-0008-0000-0100-00000A921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23</xdr:col>
      <xdr:colOff>830762</xdr:colOff>
      <xdr:row>75</xdr:row>
      <xdr:rowOff>184908</xdr:rowOff>
    </xdr:from>
    <xdr:ext cx="8334000" cy="4723200"/>
    <xdr:graphicFrame macro="">
      <xdr:nvGraphicFramePr>
        <xdr:cNvPr id="2132935009" name="Chart 14">
          <a:extLst>
            <a:ext uri="{FF2B5EF4-FFF2-40B4-BE49-F238E27FC236}">
              <a16:creationId xmlns:a16="http://schemas.microsoft.com/office/drawing/2014/main" id="{00000000-0008-0000-0100-000061012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23</xdr:col>
      <xdr:colOff>786938</xdr:colOff>
      <xdr:row>102</xdr:row>
      <xdr:rowOff>45954</xdr:rowOff>
    </xdr:from>
    <xdr:ext cx="8334000" cy="4723200"/>
    <xdr:graphicFrame macro="">
      <xdr:nvGraphicFramePr>
        <xdr:cNvPr id="1167102838" name="Chart 15">
          <a:extLst>
            <a:ext uri="{FF2B5EF4-FFF2-40B4-BE49-F238E27FC236}">
              <a16:creationId xmlns:a16="http://schemas.microsoft.com/office/drawing/2014/main" id="{00000000-0008-0000-0100-000076939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23</xdr:col>
      <xdr:colOff>594489</xdr:colOff>
      <xdr:row>45</xdr:row>
      <xdr:rowOff>163174</xdr:rowOff>
    </xdr:from>
    <xdr:ext cx="8334000" cy="4723200"/>
    <xdr:graphicFrame macro="">
      <xdr:nvGraphicFramePr>
        <xdr:cNvPr id="983578357" name="Chart 16">
          <a:extLst>
            <a:ext uri="{FF2B5EF4-FFF2-40B4-BE49-F238E27FC236}">
              <a16:creationId xmlns:a16="http://schemas.microsoft.com/office/drawing/2014/main" id="{00000000-0008-0000-0100-0000F536A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376856</xdr:colOff>
      <xdr:row>45</xdr:row>
      <xdr:rowOff>162574</xdr:rowOff>
    </xdr:from>
    <xdr:ext cx="8334375" cy="4724400"/>
    <xdr:graphicFrame macro="">
      <xdr:nvGraphicFramePr>
        <xdr:cNvPr id="999166833" name="Chart 17">
          <a:extLst>
            <a:ext uri="{FF2B5EF4-FFF2-40B4-BE49-F238E27FC236}">
              <a16:creationId xmlns:a16="http://schemas.microsoft.com/office/drawing/2014/main" id="{00000000-0008-0000-0100-000071138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16</xdr:col>
      <xdr:colOff>464540</xdr:colOff>
      <xdr:row>75</xdr:row>
      <xdr:rowOff>184908</xdr:rowOff>
    </xdr:from>
    <xdr:ext cx="8334000" cy="4723200"/>
    <xdr:graphicFrame macro="">
      <xdr:nvGraphicFramePr>
        <xdr:cNvPr id="1042357048" name="Chart 18">
          <a:extLst>
            <a:ext uri="{FF2B5EF4-FFF2-40B4-BE49-F238E27FC236}">
              <a16:creationId xmlns:a16="http://schemas.microsoft.com/office/drawing/2014/main" id="{00000000-0008-0000-0100-0000381B2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twoCellAnchor>
    <xdr:from>
      <xdr:col>33</xdr:col>
      <xdr:colOff>282040</xdr:colOff>
      <xdr:row>75</xdr:row>
      <xdr:rowOff>184908</xdr:rowOff>
    </xdr:from>
    <xdr:to>
      <xdr:col>43</xdr:col>
      <xdr:colOff>569320</xdr:colOff>
      <xdr:row>98</xdr:row>
      <xdr:rowOff>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181E7-D713-4984-B8B4-DC322DEBB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261258</xdr:colOff>
      <xdr:row>102</xdr:row>
      <xdr:rowOff>45954</xdr:rowOff>
    </xdr:from>
    <xdr:to>
      <xdr:col>43</xdr:col>
      <xdr:colOff>548538</xdr:colOff>
      <xdr:row>124</xdr:row>
      <xdr:rowOff>75234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72D829-3C73-4FEC-8010-10ABEACF0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639097</xdr:colOff>
      <xdr:row>45</xdr:row>
      <xdr:rowOff>184355</xdr:rowOff>
    </xdr:from>
    <xdr:to>
      <xdr:col>22</xdr:col>
      <xdr:colOff>1164609</xdr:colOff>
      <xdr:row>68</xdr:row>
      <xdr:rowOff>62206</xdr:rowOff>
    </xdr:to>
    <xdr:graphicFrame macro="">
      <xdr:nvGraphicFramePr>
        <xdr:cNvPr id="5" name="Chart 11" title="Chart">
          <a:extLst>
            <a:ext uri="{FF2B5EF4-FFF2-40B4-BE49-F238E27FC236}">
              <a16:creationId xmlns:a16="http://schemas.microsoft.com/office/drawing/2014/main" id="{711C558F-C19B-4DB0-B4D1-EE3F18337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1905000</xdr:colOff>
      <xdr:row>81</xdr:row>
      <xdr:rowOff>103729</xdr:rowOff>
    </xdr:from>
    <xdr:to>
      <xdr:col>9</xdr:col>
      <xdr:colOff>371100</xdr:colOff>
      <xdr:row>104</xdr:row>
      <xdr:rowOff>7279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44E849D1-19F6-4121-B91C-4F49ECD0E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63026</xdr:colOff>
      <xdr:row>134</xdr:row>
      <xdr:rowOff>111053</xdr:rowOff>
    </xdr:from>
    <xdr:to>
      <xdr:col>15</xdr:col>
      <xdr:colOff>281726</xdr:colOff>
      <xdr:row>157</xdr:row>
      <xdr:rowOff>14603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3796E57C-CFB2-4120-96DD-98C98F522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52179</xdr:colOff>
      <xdr:row>51</xdr:row>
      <xdr:rowOff>133950</xdr:rowOff>
    </xdr:from>
    <xdr:to>
      <xdr:col>36</xdr:col>
      <xdr:colOff>1013829</xdr:colOff>
      <xdr:row>74</xdr:row>
      <xdr:rowOff>37500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1094361F-732C-43F1-AEAF-AF15D55AF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898403</xdr:colOff>
      <xdr:row>51</xdr:row>
      <xdr:rowOff>133950</xdr:rowOff>
    </xdr:from>
    <xdr:to>
      <xdr:col>15</xdr:col>
      <xdr:colOff>126503</xdr:colOff>
      <xdr:row>74</xdr:row>
      <xdr:rowOff>37500</xdr:rowOff>
    </xdr:to>
    <xdr:graphicFrame macro="">
      <xdr:nvGraphicFramePr>
        <xdr:cNvPr id="7" name="Chart 11" title="Chart">
          <a:extLst>
            <a:ext uri="{FF2B5EF4-FFF2-40B4-BE49-F238E27FC236}">
              <a16:creationId xmlns:a16="http://schemas.microsoft.com/office/drawing/2014/main" id="{04FB8B43-F118-4181-BA3B-DBAA964D4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93643</xdr:colOff>
      <xdr:row>107</xdr:row>
      <xdr:rowOff>127566</xdr:rowOff>
    </xdr:from>
    <xdr:to>
      <xdr:col>15</xdr:col>
      <xdr:colOff>312343</xdr:colOff>
      <xdr:row>130</xdr:row>
      <xdr:rowOff>31116</xdr:rowOff>
    </xdr:to>
    <xdr:graphicFrame macro="">
      <xdr:nvGraphicFramePr>
        <xdr:cNvPr id="8" name="Chart 12">
          <a:extLst>
            <a:ext uri="{FF2B5EF4-FFF2-40B4-BE49-F238E27FC236}">
              <a16:creationId xmlns:a16="http://schemas.microsoft.com/office/drawing/2014/main" id="{49E6CAE5-CD4C-4325-9785-32DA85DFE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334076</xdr:colOff>
      <xdr:row>134</xdr:row>
      <xdr:rowOff>111053</xdr:rowOff>
    </xdr:from>
    <xdr:to>
      <xdr:col>23</xdr:col>
      <xdr:colOff>38426</xdr:colOff>
      <xdr:row>157</xdr:row>
      <xdr:rowOff>14603</xdr:rowOff>
    </xdr:to>
    <xdr:graphicFrame macro="">
      <xdr:nvGraphicFramePr>
        <xdr:cNvPr id="9" name="Chart 13">
          <a:extLst>
            <a:ext uri="{FF2B5EF4-FFF2-40B4-BE49-F238E27FC236}">
              <a16:creationId xmlns:a16="http://schemas.microsoft.com/office/drawing/2014/main" id="{942D22C1-F227-466B-8532-0EB144904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588143</xdr:colOff>
      <xdr:row>81</xdr:row>
      <xdr:rowOff>103729</xdr:rowOff>
    </xdr:from>
    <xdr:to>
      <xdr:col>23</xdr:col>
      <xdr:colOff>292493</xdr:colOff>
      <xdr:row>104</xdr:row>
      <xdr:rowOff>7279</xdr:rowOff>
    </xdr:to>
    <xdr:graphicFrame macro="">
      <xdr:nvGraphicFramePr>
        <xdr:cNvPr id="10" name="Chart 14">
          <a:extLst>
            <a:ext uri="{FF2B5EF4-FFF2-40B4-BE49-F238E27FC236}">
              <a16:creationId xmlns:a16="http://schemas.microsoft.com/office/drawing/2014/main" id="{479A8341-3991-4531-8AFE-7BB278427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544319</xdr:colOff>
      <xdr:row>107</xdr:row>
      <xdr:rowOff>127566</xdr:rowOff>
    </xdr:from>
    <xdr:to>
      <xdr:col>23</xdr:col>
      <xdr:colOff>248669</xdr:colOff>
      <xdr:row>130</xdr:row>
      <xdr:rowOff>31116</xdr:rowOff>
    </xdr:to>
    <xdr:graphicFrame macro="">
      <xdr:nvGraphicFramePr>
        <xdr:cNvPr id="11" name="Chart 15">
          <a:extLst>
            <a:ext uri="{FF2B5EF4-FFF2-40B4-BE49-F238E27FC236}">
              <a16:creationId xmlns:a16="http://schemas.microsoft.com/office/drawing/2014/main" id="{195A42D0-7311-4534-9242-9FA42503F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351870</xdr:colOff>
      <xdr:row>51</xdr:row>
      <xdr:rowOff>133950</xdr:rowOff>
    </xdr:from>
    <xdr:to>
      <xdr:col>23</xdr:col>
      <xdr:colOff>56220</xdr:colOff>
      <xdr:row>74</xdr:row>
      <xdr:rowOff>37500</xdr:rowOff>
    </xdr:to>
    <xdr:graphicFrame macro="">
      <xdr:nvGraphicFramePr>
        <xdr:cNvPr id="12" name="Chart 16">
          <a:extLst>
            <a:ext uri="{FF2B5EF4-FFF2-40B4-BE49-F238E27FC236}">
              <a16:creationId xmlns:a16="http://schemas.microsoft.com/office/drawing/2014/main" id="{8AA8B72D-A5F7-4F08-920F-B8DA4DAC2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211592</xdr:colOff>
      <xdr:row>51</xdr:row>
      <xdr:rowOff>133350</xdr:rowOff>
    </xdr:from>
    <xdr:to>
      <xdr:col>9</xdr:col>
      <xdr:colOff>621167</xdr:colOff>
      <xdr:row>74</xdr:row>
      <xdr:rowOff>38100</xdr:rowOff>
    </xdr:to>
    <xdr:graphicFrame macro="">
      <xdr:nvGraphicFramePr>
        <xdr:cNvPr id="13" name="Chart 17">
          <a:extLst>
            <a:ext uri="{FF2B5EF4-FFF2-40B4-BE49-F238E27FC236}">
              <a16:creationId xmlns:a16="http://schemas.microsoft.com/office/drawing/2014/main" id="{D18DB7A2-898D-4E48-9B8A-7B7BBEB1E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91458</xdr:colOff>
      <xdr:row>81</xdr:row>
      <xdr:rowOff>103729</xdr:rowOff>
    </xdr:from>
    <xdr:to>
      <xdr:col>15</xdr:col>
      <xdr:colOff>310158</xdr:colOff>
      <xdr:row>104</xdr:row>
      <xdr:rowOff>7279</xdr:rowOff>
    </xdr:to>
    <xdr:graphicFrame macro="">
      <xdr:nvGraphicFramePr>
        <xdr:cNvPr id="14" name="Chart 18">
          <a:extLst>
            <a:ext uri="{FF2B5EF4-FFF2-40B4-BE49-F238E27FC236}">
              <a16:creationId xmlns:a16="http://schemas.microsoft.com/office/drawing/2014/main" id="{BFFDE19A-95C3-4869-BE98-AC895EE07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355767</xdr:colOff>
      <xdr:row>81</xdr:row>
      <xdr:rowOff>103729</xdr:rowOff>
    </xdr:from>
    <xdr:to>
      <xdr:col>36</xdr:col>
      <xdr:colOff>646510</xdr:colOff>
      <xdr:row>103</xdr:row>
      <xdr:rowOff>89367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2F239F-1395-4C37-B227-798CF8443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334985</xdr:colOff>
      <xdr:row>107</xdr:row>
      <xdr:rowOff>127566</xdr:rowOff>
    </xdr:from>
    <xdr:to>
      <xdr:col>36</xdr:col>
      <xdr:colOff>625728</xdr:colOff>
      <xdr:row>129</xdr:row>
      <xdr:rowOff>118746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1ADC54-CAF7-461D-B8DD-D09374330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44</xdr:row>
      <xdr:rowOff>859</xdr:rowOff>
    </xdr:from>
    <xdr:to>
      <xdr:col>12</xdr:col>
      <xdr:colOff>1239780</xdr:colOff>
      <xdr:row>66</xdr:row>
      <xdr:rowOff>117769</xdr:rowOff>
    </xdr:to>
    <xdr:graphicFrame macro="">
      <xdr:nvGraphicFramePr>
        <xdr:cNvPr id="13" name="Chart 8">
          <a:extLst>
            <a:ext uri="{FF2B5EF4-FFF2-40B4-BE49-F238E27FC236}">
              <a16:creationId xmlns:a16="http://schemas.microsoft.com/office/drawing/2014/main" id="{DFCAB63F-0F22-44F4-B517-6D2A2B3E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596426</xdr:colOff>
      <xdr:row>97</xdr:row>
      <xdr:rowOff>8183</xdr:rowOff>
    </xdr:from>
    <xdr:to>
      <xdr:col>19</xdr:col>
      <xdr:colOff>1699046</xdr:colOff>
      <xdr:row>119</xdr:row>
      <xdr:rowOff>125093</xdr:rowOff>
    </xdr:to>
    <xdr:graphicFrame macro="">
      <xdr:nvGraphicFramePr>
        <xdr:cNvPr id="14" name="Chart 9">
          <a:extLst>
            <a:ext uri="{FF2B5EF4-FFF2-40B4-BE49-F238E27FC236}">
              <a16:creationId xmlns:a16="http://schemas.microsoft.com/office/drawing/2014/main" id="{B8F007BD-2FD5-405F-8FC5-04620D259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158859</xdr:colOff>
      <xdr:row>14</xdr:row>
      <xdr:rowOff>31080</xdr:rowOff>
    </xdr:from>
    <xdr:to>
      <xdr:col>42</xdr:col>
      <xdr:colOff>693789</xdr:colOff>
      <xdr:row>36</xdr:row>
      <xdr:rowOff>147990</xdr:rowOff>
    </xdr:to>
    <xdr:graphicFrame macro="">
      <xdr:nvGraphicFramePr>
        <xdr:cNvPr id="15" name="Chart 10">
          <a:extLst>
            <a:ext uri="{FF2B5EF4-FFF2-40B4-BE49-F238E27FC236}">
              <a16:creationId xmlns:a16="http://schemas.microsoft.com/office/drawing/2014/main" id="{2432ACBD-E043-4E1A-A460-4057BEEEA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627043</xdr:colOff>
      <xdr:row>70</xdr:row>
      <xdr:rowOff>24696</xdr:rowOff>
    </xdr:from>
    <xdr:to>
      <xdr:col>19</xdr:col>
      <xdr:colOff>1729663</xdr:colOff>
      <xdr:row>92</xdr:row>
      <xdr:rowOff>141606</xdr:rowOff>
    </xdr:to>
    <xdr:graphicFrame macro="">
      <xdr:nvGraphicFramePr>
        <xdr:cNvPr id="17" name="Chart 12">
          <a:extLst>
            <a:ext uri="{FF2B5EF4-FFF2-40B4-BE49-F238E27FC236}">
              <a16:creationId xmlns:a16="http://schemas.microsoft.com/office/drawing/2014/main" id="{6F517A9C-11DF-4ACB-AE87-27AC7EB15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806516</xdr:colOff>
      <xdr:row>97</xdr:row>
      <xdr:rowOff>8183</xdr:rowOff>
    </xdr:from>
    <xdr:to>
      <xdr:col>31</xdr:col>
      <xdr:colOff>693746</xdr:colOff>
      <xdr:row>119</xdr:row>
      <xdr:rowOff>125093</xdr:rowOff>
    </xdr:to>
    <xdr:graphicFrame macro="">
      <xdr:nvGraphicFramePr>
        <xdr:cNvPr id="18" name="Chart 13">
          <a:extLst>
            <a:ext uri="{FF2B5EF4-FFF2-40B4-BE49-F238E27FC236}">
              <a16:creationId xmlns:a16="http://schemas.microsoft.com/office/drawing/2014/main" id="{1AA0ACEF-2BF3-4B43-A6E1-343368E07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1060583</xdr:colOff>
      <xdr:row>44</xdr:row>
      <xdr:rowOff>859</xdr:rowOff>
    </xdr:from>
    <xdr:to>
      <xdr:col>32</xdr:col>
      <xdr:colOff>63893</xdr:colOff>
      <xdr:row>66</xdr:row>
      <xdr:rowOff>117769</xdr:rowOff>
    </xdr:to>
    <xdr:graphicFrame macro="">
      <xdr:nvGraphicFramePr>
        <xdr:cNvPr id="19" name="Chart 14">
          <a:extLst>
            <a:ext uri="{FF2B5EF4-FFF2-40B4-BE49-F238E27FC236}">
              <a16:creationId xmlns:a16="http://schemas.microsoft.com/office/drawing/2014/main" id="{18F06D99-6099-4259-81D1-478A725AF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1016759</xdr:colOff>
      <xdr:row>70</xdr:row>
      <xdr:rowOff>24696</xdr:rowOff>
    </xdr:from>
    <xdr:to>
      <xdr:col>32</xdr:col>
      <xdr:colOff>20069</xdr:colOff>
      <xdr:row>92</xdr:row>
      <xdr:rowOff>141606</xdr:rowOff>
    </xdr:to>
    <xdr:graphicFrame macro="">
      <xdr:nvGraphicFramePr>
        <xdr:cNvPr id="20" name="Chart 15">
          <a:extLst>
            <a:ext uri="{FF2B5EF4-FFF2-40B4-BE49-F238E27FC236}">
              <a16:creationId xmlns:a16="http://schemas.microsoft.com/office/drawing/2014/main" id="{61BE17A8-389F-4A0B-A7A0-A5071F957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824310</xdr:colOff>
      <xdr:row>14</xdr:row>
      <xdr:rowOff>31080</xdr:rowOff>
    </xdr:from>
    <xdr:to>
      <xdr:col>31</xdr:col>
      <xdr:colOff>711540</xdr:colOff>
      <xdr:row>36</xdr:row>
      <xdr:rowOff>147990</xdr:rowOff>
    </xdr:to>
    <xdr:graphicFrame macro="">
      <xdr:nvGraphicFramePr>
        <xdr:cNvPr id="21" name="Chart 16">
          <a:extLst>
            <a:ext uri="{FF2B5EF4-FFF2-40B4-BE49-F238E27FC236}">
              <a16:creationId xmlns:a16="http://schemas.microsoft.com/office/drawing/2014/main" id="{07B58CE2-361C-4AC1-8928-07966E7CE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988832</xdr:colOff>
      <xdr:row>14</xdr:row>
      <xdr:rowOff>30480</xdr:rowOff>
    </xdr:from>
    <xdr:to>
      <xdr:col>12</xdr:col>
      <xdr:colOff>1489847</xdr:colOff>
      <xdr:row>36</xdr:row>
      <xdr:rowOff>148590</xdr:rowOff>
    </xdr:to>
    <xdr:graphicFrame macro="">
      <xdr:nvGraphicFramePr>
        <xdr:cNvPr id="22" name="Chart 17">
          <a:extLst>
            <a:ext uri="{FF2B5EF4-FFF2-40B4-BE49-F238E27FC236}">
              <a16:creationId xmlns:a16="http://schemas.microsoft.com/office/drawing/2014/main" id="{C1EA6A67-AD5C-445D-9733-FD755FDAA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624858</xdr:colOff>
      <xdr:row>44</xdr:row>
      <xdr:rowOff>859</xdr:rowOff>
    </xdr:from>
    <xdr:to>
      <xdr:col>19</xdr:col>
      <xdr:colOff>1727478</xdr:colOff>
      <xdr:row>66</xdr:row>
      <xdr:rowOff>117769</xdr:rowOff>
    </xdr:to>
    <xdr:graphicFrame macro="">
      <xdr:nvGraphicFramePr>
        <xdr:cNvPr id="23" name="Chart 18">
          <a:extLst>
            <a:ext uri="{FF2B5EF4-FFF2-40B4-BE49-F238E27FC236}">
              <a16:creationId xmlns:a16="http://schemas.microsoft.com/office/drawing/2014/main" id="{58138268-5BF1-4912-8839-638216DD2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736767</xdr:colOff>
      <xdr:row>44</xdr:row>
      <xdr:rowOff>859</xdr:rowOff>
    </xdr:from>
    <xdr:to>
      <xdr:col>42</xdr:col>
      <xdr:colOff>326470</xdr:colOff>
      <xdr:row>65</xdr:row>
      <xdr:rowOff>199857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BD31628-9CED-4440-B7B7-0805657D4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715985</xdr:colOff>
      <xdr:row>70</xdr:row>
      <xdr:rowOff>24696</xdr:rowOff>
    </xdr:from>
    <xdr:to>
      <xdr:col>42</xdr:col>
      <xdr:colOff>305688</xdr:colOff>
      <xdr:row>92</xdr:row>
      <xdr:rowOff>15876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65D150-9B86-4731-8510-80708F95E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138545</xdr:colOff>
      <xdr:row>14</xdr:row>
      <xdr:rowOff>110836</xdr:rowOff>
    </xdr:from>
    <xdr:to>
      <xdr:col>19</xdr:col>
      <xdr:colOff>1675439</xdr:colOff>
      <xdr:row>36</xdr:row>
      <xdr:rowOff>196506</xdr:rowOff>
    </xdr:to>
    <xdr:graphicFrame macro="">
      <xdr:nvGraphicFramePr>
        <xdr:cNvPr id="2" name="Chart 11" title="Chart">
          <a:extLst>
            <a:ext uri="{FF2B5EF4-FFF2-40B4-BE49-F238E27FC236}">
              <a16:creationId xmlns:a16="http://schemas.microsoft.com/office/drawing/2014/main" id="{2E845FF8-A606-4CCD-93E2-397B2CC57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84679</xdr:rowOff>
    </xdr:from>
    <xdr:to>
      <xdr:col>9</xdr:col>
      <xdr:colOff>538740</xdr:colOff>
      <xdr:row>79</xdr:row>
      <xdr:rowOff>75859</xdr:rowOff>
    </xdr:to>
    <xdr:graphicFrame macro="">
      <xdr:nvGraphicFramePr>
        <xdr:cNvPr id="26" name="Chart 8">
          <a:extLst>
            <a:ext uri="{FF2B5EF4-FFF2-40B4-BE49-F238E27FC236}">
              <a16:creationId xmlns:a16="http://schemas.microsoft.com/office/drawing/2014/main" id="{A89F1B2C-35BD-4F20-9B8D-2A19C653C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261146</xdr:colOff>
      <xdr:row>110</xdr:row>
      <xdr:rowOff>84383</xdr:rowOff>
    </xdr:from>
    <xdr:to>
      <xdr:col>14</xdr:col>
      <xdr:colOff>45506</xdr:colOff>
      <xdr:row>133</xdr:row>
      <xdr:rowOff>75563</xdr:rowOff>
    </xdr:to>
    <xdr:graphicFrame macro="">
      <xdr:nvGraphicFramePr>
        <xdr:cNvPr id="27" name="Chart 9">
          <a:extLst>
            <a:ext uri="{FF2B5EF4-FFF2-40B4-BE49-F238E27FC236}">
              <a16:creationId xmlns:a16="http://schemas.microsoft.com/office/drawing/2014/main" id="{79361982-136F-4018-AC80-4BEF1204C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699879</xdr:colOff>
      <xdr:row>26</xdr:row>
      <xdr:rowOff>600</xdr:rowOff>
    </xdr:from>
    <xdr:to>
      <xdr:col>36</xdr:col>
      <xdr:colOff>427089</xdr:colOff>
      <xdr:row>48</xdr:row>
      <xdr:rowOff>201330</xdr:rowOff>
    </xdr:to>
    <xdr:graphicFrame macro="">
      <xdr:nvGraphicFramePr>
        <xdr:cNvPr id="28" name="Chart 10">
          <a:extLst>
            <a:ext uri="{FF2B5EF4-FFF2-40B4-BE49-F238E27FC236}">
              <a16:creationId xmlns:a16="http://schemas.microsoft.com/office/drawing/2014/main" id="{FEEE8562-1FD2-47F0-B89A-6E9EE707B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291763</xdr:colOff>
      <xdr:row>82</xdr:row>
      <xdr:rowOff>207576</xdr:rowOff>
    </xdr:from>
    <xdr:to>
      <xdr:col>14</xdr:col>
      <xdr:colOff>76123</xdr:colOff>
      <xdr:row>105</xdr:row>
      <xdr:rowOff>198756</xdr:rowOff>
    </xdr:to>
    <xdr:graphicFrame macro="">
      <xdr:nvGraphicFramePr>
        <xdr:cNvPr id="30" name="Chart 12">
          <a:extLst>
            <a:ext uri="{FF2B5EF4-FFF2-40B4-BE49-F238E27FC236}">
              <a16:creationId xmlns:a16="http://schemas.microsoft.com/office/drawing/2014/main" id="{9E062099-AB8D-4CD2-9C62-8302D27D1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94046</xdr:colOff>
      <xdr:row>110</xdr:row>
      <xdr:rowOff>84383</xdr:rowOff>
    </xdr:from>
    <xdr:to>
      <xdr:col>25</xdr:col>
      <xdr:colOff>57476</xdr:colOff>
      <xdr:row>133</xdr:row>
      <xdr:rowOff>75563</xdr:rowOff>
    </xdr:to>
    <xdr:graphicFrame macro="">
      <xdr:nvGraphicFramePr>
        <xdr:cNvPr id="31" name="Chart 13">
          <a:extLst>
            <a:ext uri="{FF2B5EF4-FFF2-40B4-BE49-F238E27FC236}">
              <a16:creationId xmlns:a16="http://schemas.microsoft.com/office/drawing/2014/main" id="{02F3997E-D069-46C9-8591-F0B71CB3C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348113</xdr:colOff>
      <xdr:row>56</xdr:row>
      <xdr:rowOff>84679</xdr:rowOff>
    </xdr:from>
    <xdr:to>
      <xdr:col>25</xdr:col>
      <xdr:colOff>311543</xdr:colOff>
      <xdr:row>79</xdr:row>
      <xdr:rowOff>75859</xdr:rowOff>
    </xdr:to>
    <xdr:graphicFrame macro="">
      <xdr:nvGraphicFramePr>
        <xdr:cNvPr id="32" name="Chart 14">
          <a:extLst>
            <a:ext uri="{FF2B5EF4-FFF2-40B4-BE49-F238E27FC236}">
              <a16:creationId xmlns:a16="http://schemas.microsoft.com/office/drawing/2014/main" id="{BC32A87D-A697-440D-9E65-4B231BA3E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304289</xdr:colOff>
      <xdr:row>82</xdr:row>
      <xdr:rowOff>207576</xdr:rowOff>
    </xdr:from>
    <xdr:to>
      <xdr:col>25</xdr:col>
      <xdr:colOff>267719</xdr:colOff>
      <xdr:row>105</xdr:row>
      <xdr:rowOff>198756</xdr:rowOff>
    </xdr:to>
    <xdr:graphicFrame macro="">
      <xdr:nvGraphicFramePr>
        <xdr:cNvPr id="33" name="Chart 15">
          <a:extLst>
            <a:ext uri="{FF2B5EF4-FFF2-40B4-BE49-F238E27FC236}">
              <a16:creationId xmlns:a16="http://schemas.microsoft.com/office/drawing/2014/main" id="{6EF110AF-0353-43CE-BB3E-56BF85986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111840</xdr:colOff>
      <xdr:row>26</xdr:row>
      <xdr:rowOff>600</xdr:rowOff>
    </xdr:from>
    <xdr:to>
      <xdr:col>25</xdr:col>
      <xdr:colOff>75270</xdr:colOff>
      <xdr:row>48</xdr:row>
      <xdr:rowOff>201330</xdr:rowOff>
    </xdr:to>
    <xdr:graphicFrame macro="">
      <xdr:nvGraphicFramePr>
        <xdr:cNvPr id="34" name="Chart 16">
          <a:extLst>
            <a:ext uri="{FF2B5EF4-FFF2-40B4-BE49-F238E27FC236}">
              <a16:creationId xmlns:a16="http://schemas.microsoft.com/office/drawing/2014/main" id="{747CA2C7-5A7E-4870-A2E2-9E2B4FA4E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257312</xdr:colOff>
      <xdr:row>26</xdr:row>
      <xdr:rowOff>0</xdr:rowOff>
    </xdr:from>
    <xdr:to>
      <xdr:col>9</xdr:col>
      <xdr:colOff>788807</xdr:colOff>
      <xdr:row>48</xdr:row>
      <xdr:rowOff>201930</xdr:rowOff>
    </xdr:to>
    <xdr:graphicFrame macro="">
      <xdr:nvGraphicFramePr>
        <xdr:cNvPr id="35" name="Chart 17">
          <a:extLst>
            <a:ext uri="{FF2B5EF4-FFF2-40B4-BE49-F238E27FC236}">
              <a16:creationId xmlns:a16="http://schemas.microsoft.com/office/drawing/2014/main" id="{8BD4FDAA-5217-4610-AD64-3A32B9147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289578</xdr:colOff>
      <xdr:row>56</xdr:row>
      <xdr:rowOff>84679</xdr:rowOff>
    </xdr:from>
    <xdr:to>
      <xdr:col>14</xdr:col>
      <xdr:colOff>73938</xdr:colOff>
      <xdr:row>79</xdr:row>
      <xdr:rowOff>75859</xdr:rowOff>
    </xdr:to>
    <xdr:graphicFrame macro="">
      <xdr:nvGraphicFramePr>
        <xdr:cNvPr id="36" name="Chart 18">
          <a:extLst>
            <a:ext uri="{FF2B5EF4-FFF2-40B4-BE49-F238E27FC236}">
              <a16:creationId xmlns:a16="http://schemas.microsoft.com/office/drawing/2014/main" id="{B801F411-4E4B-4AF7-8C3D-9D333FE1D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393867</xdr:colOff>
      <xdr:row>56</xdr:row>
      <xdr:rowOff>84679</xdr:rowOff>
    </xdr:from>
    <xdr:to>
      <xdr:col>36</xdr:col>
      <xdr:colOff>59770</xdr:colOff>
      <xdr:row>78</xdr:row>
      <xdr:rowOff>154137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611BCD6-C4E7-43A1-895C-EBA07477A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373085</xdr:colOff>
      <xdr:row>82</xdr:row>
      <xdr:rowOff>207576</xdr:rowOff>
    </xdr:from>
    <xdr:to>
      <xdr:col>36</xdr:col>
      <xdr:colOff>38988</xdr:colOff>
      <xdr:row>105</xdr:row>
      <xdr:rowOff>73026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401D45-05B6-4235-9FBE-243A36AEA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14</xdr:col>
      <xdr:colOff>181813</xdr:colOff>
      <xdr:row>48</xdr:row>
      <xdr:rowOff>144286</xdr:rowOff>
    </xdr:to>
    <xdr:graphicFrame macro="">
      <xdr:nvGraphicFramePr>
        <xdr:cNvPr id="2" name="Chart 11" title="Chart">
          <a:extLst>
            <a:ext uri="{FF2B5EF4-FFF2-40B4-BE49-F238E27FC236}">
              <a16:creationId xmlns:a16="http://schemas.microsoft.com/office/drawing/2014/main" id="{536CEC94-04C0-41ED-8F44-A52F7AA86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60</xdr:row>
      <xdr:rowOff>84679</xdr:rowOff>
    </xdr:from>
    <xdr:to>
      <xdr:col>9</xdr:col>
      <xdr:colOff>393960</xdr:colOff>
      <xdr:row>83</xdr:row>
      <xdr:rowOff>163489</xdr:rowOff>
    </xdr:to>
    <xdr:graphicFrame macro="">
      <xdr:nvGraphicFramePr>
        <xdr:cNvPr id="13" name="Chart 8">
          <a:extLst>
            <a:ext uri="{FF2B5EF4-FFF2-40B4-BE49-F238E27FC236}">
              <a16:creationId xmlns:a16="http://schemas.microsoft.com/office/drawing/2014/main" id="{19C2DA7D-D376-4DF4-9171-AEE22B78F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146846</xdr:colOff>
      <xdr:row>115</xdr:row>
      <xdr:rowOff>80573</xdr:rowOff>
    </xdr:from>
    <xdr:to>
      <xdr:col>13</xdr:col>
      <xdr:colOff>4259366</xdr:colOff>
      <xdr:row>138</xdr:row>
      <xdr:rowOff>159383</xdr:rowOff>
    </xdr:to>
    <xdr:graphicFrame macro="">
      <xdr:nvGraphicFramePr>
        <xdr:cNvPr id="14" name="Chart 9">
          <a:extLst>
            <a:ext uri="{FF2B5EF4-FFF2-40B4-BE49-F238E27FC236}">
              <a16:creationId xmlns:a16="http://schemas.microsoft.com/office/drawing/2014/main" id="{DE6E9CCE-B21B-40D2-8BD4-EA751770B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608439</xdr:colOff>
      <xdr:row>29</xdr:row>
      <xdr:rowOff>95850</xdr:rowOff>
    </xdr:from>
    <xdr:to>
      <xdr:col>36</xdr:col>
      <xdr:colOff>411849</xdr:colOff>
      <xdr:row>52</xdr:row>
      <xdr:rowOff>170850</xdr:rowOff>
    </xdr:to>
    <xdr:graphicFrame macro="">
      <xdr:nvGraphicFramePr>
        <xdr:cNvPr id="15" name="Chart 10">
          <a:extLst>
            <a:ext uri="{FF2B5EF4-FFF2-40B4-BE49-F238E27FC236}">
              <a16:creationId xmlns:a16="http://schemas.microsoft.com/office/drawing/2014/main" id="{F768579B-6235-4BF5-84A3-899D024F5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177463</xdr:colOff>
      <xdr:row>87</xdr:row>
      <xdr:rowOff>97086</xdr:rowOff>
    </xdr:from>
    <xdr:to>
      <xdr:col>13</xdr:col>
      <xdr:colOff>4289983</xdr:colOff>
      <xdr:row>110</xdr:row>
      <xdr:rowOff>175896</xdr:rowOff>
    </xdr:to>
    <xdr:graphicFrame macro="">
      <xdr:nvGraphicFramePr>
        <xdr:cNvPr id="17" name="Chart 12">
          <a:extLst>
            <a:ext uri="{FF2B5EF4-FFF2-40B4-BE49-F238E27FC236}">
              <a16:creationId xmlns:a16="http://schemas.microsoft.com/office/drawing/2014/main" id="{4FFCB3FE-A59E-4618-9AE7-6EF97E12C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1008446</xdr:colOff>
      <xdr:row>115</xdr:row>
      <xdr:rowOff>80573</xdr:rowOff>
    </xdr:from>
    <xdr:to>
      <xdr:col>24</xdr:col>
      <xdr:colOff>537536</xdr:colOff>
      <xdr:row>138</xdr:row>
      <xdr:rowOff>159383</xdr:rowOff>
    </xdr:to>
    <xdr:graphicFrame macro="">
      <xdr:nvGraphicFramePr>
        <xdr:cNvPr id="18" name="Chart 13">
          <a:extLst>
            <a:ext uri="{FF2B5EF4-FFF2-40B4-BE49-F238E27FC236}">
              <a16:creationId xmlns:a16="http://schemas.microsoft.com/office/drawing/2014/main" id="{3FFDB116-4D72-447D-ABBA-85D4E6CEB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252863</xdr:colOff>
      <xdr:row>60</xdr:row>
      <xdr:rowOff>84679</xdr:rowOff>
    </xdr:from>
    <xdr:to>
      <xdr:col>25</xdr:col>
      <xdr:colOff>201053</xdr:colOff>
      <xdr:row>83</xdr:row>
      <xdr:rowOff>163489</xdr:rowOff>
    </xdr:to>
    <xdr:graphicFrame macro="">
      <xdr:nvGraphicFramePr>
        <xdr:cNvPr id="19" name="Chart 14">
          <a:extLst>
            <a:ext uri="{FF2B5EF4-FFF2-40B4-BE49-F238E27FC236}">
              <a16:creationId xmlns:a16="http://schemas.microsoft.com/office/drawing/2014/main" id="{C3B7F351-D072-4F64-B60C-8B2AD7F00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209039</xdr:colOff>
      <xdr:row>87</xdr:row>
      <xdr:rowOff>97086</xdr:rowOff>
    </xdr:from>
    <xdr:to>
      <xdr:col>25</xdr:col>
      <xdr:colOff>157229</xdr:colOff>
      <xdr:row>110</xdr:row>
      <xdr:rowOff>175896</xdr:rowOff>
    </xdr:to>
    <xdr:graphicFrame macro="">
      <xdr:nvGraphicFramePr>
        <xdr:cNvPr id="20" name="Chart 15">
          <a:extLst>
            <a:ext uri="{FF2B5EF4-FFF2-40B4-BE49-F238E27FC236}">
              <a16:creationId xmlns:a16="http://schemas.microsoft.com/office/drawing/2014/main" id="{8C8D1A41-2515-48A0-80FC-52D037450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16590</xdr:colOff>
      <xdr:row>29</xdr:row>
      <xdr:rowOff>95850</xdr:rowOff>
    </xdr:from>
    <xdr:to>
      <xdr:col>24</xdr:col>
      <xdr:colOff>555330</xdr:colOff>
      <xdr:row>52</xdr:row>
      <xdr:rowOff>170850</xdr:rowOff>
    </xdr:to>
    <xdr:graphicFrame macro="">
      <xdr:nvGraphicFramePr>
        <xdr:cNvPr id="21" name="Chart 16">
          <a:extLst>
            <a:ext uri="{FF2B5EF4-FFF2-40B4-BE49-F238E27FC236}">
              <a16:creationId xmlns:a16="http://schemas.microsoft.com/office/drawing/2014/main" id="{C273168F-D187-4836-8FE6-F4D40B036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1152662</xdr:colOff>
      <xdr:row>29</xdr:row>
      <xdr:rowOff>95250</xdr:rowOff>
    </xdr:from>
    <xdr:to>
      <xdr:col>9</xdr:col>
      <xdr:colOff>644027</xdr:colOff>
      <xdr:row>52</xdr:row>
      <xdr:rowOff>171450</xdr:rowOff>
    </xdr:to>
    <xdr:graphicFrame macro="">
      <xdr:nvGraphicFramePr>
        <xdr:cNvPr id="22" name="Chart 17">
          <a:extLst>
            <a:ext uri="{FF2B5EF4-FFF2-40B4-BE49-F238E27FC236}">
              <a16:creationId xmlns:a16="http://schemas.microsoft.com/office/drawing/2014/main" id="{74354B7E-AEE2-4571-AEDB-D63C46CB7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175278</xdr:colOff>
      <xdr:row>60</xdr:row>
      <xdr:rowOff>84679</xdr:rowOff>
    </xdr:from>
    <xdr:to>
      <xdr:col>13</xdr:col>
      <xdr:colOff>4287798</xdr:colOff>
      <xdr:row>83</xdr:row>
      <xdr:rowOff>163489</xdr:rowOff>
    </xdr:to>
    <xdr:graphicFrame macro="">
      <xdr:nvGraphicFramePr>
        <xdr:cNvPr id="23" name="Chart 18">
          <a:extLst>
            <a:ext uri="{FF2B5EF4-FFF2-40B4-BE49-F238E27FC236}">
              <a16:creationId xmlns:a16="http://schemas.microsoft.com/office/drawing/2014/main" id="{006A0D61-3546-4987-A11B-B7B3790B8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302427</xdr:colOff>
      <xdr:row>60</xdr:row>
      <xdr:rowOff>84679</xdr:rowOff>
    </xdr:from>
    <xdr:to>
      <xdr:col>36</xdr:col>
      <xdr:colOff>44530</xdr:colOff>
      <xdr:row>83</xdr:row>
      <xdr:rowOff>28407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4B4E151-03B6-4F6F-B55C-02810135A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281645</xdr:colOff>
      <xdr:row>87</xdr:row>
      <xdr:rowOff>97086</xdr:rowOff>
    </xdr:from>
    <xdr:to>
      <xdr:col>36</xdr:col>
      <xdr:colOff>23748</xdr:colOff>
      <xdr:row>110</xdr:row>
      <xdr:rowOff>50166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9101945-08EC-497E-83E2-CB701F744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637309</xdr:colOff>
      <xdr:row>29</xdr:row>
      <xdr:rowOff>96981</xdr:rowOff>
    </xdr:from>
    <xdr:to>
      <xdr:col>14</xdr:col>
      <xdr:colOff>110836</xdr:colOff>
      <xdr:row>52</xdr:row>
      <xdr:rowOff>182652</xdr:rowOff>
    </xdr:to>
    <xdr:graphicFrame macro="">
      <xdr:nvGraphicFramePr>
        <xdr:cNvPr id="2" name="Chart 11" title="Chart">
          <a:extLst>
            <a:ext uri="{FF2B5EF4-FFF2-40B4-BE49-F238E27FC236}">
              <a16:creationId xmlns:a16="http://schemas.microsoft.com/office/drawing/2014/main" id="{3073BBEA-0C43-4988-939C-CFB38F16F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76</xdr:row>
      <xdr:rowOff>84679</xdr:rowOff>
    </xdr:from>
    <xdr:to>
      <xdr:col>9</xdr:col>
      <xdr:colOff>393960</xdr:colOff>
      <xdr:row>99</xdr:row>
      <xdr:rowOff>163489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E89B683C-54A7-48F7-BD4B-117EC7583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146846</xdr:colOff>
      <xdr:row>131</xdr:row>
      <xdr:rowOff>80573</xdr:rowOff>
    </xdr:from>
    <xdr:to>
      <xdr:col>13</xdr:col>
      <xdr:colOff>4259366</xdr:colOff>
      <xdr:row>154</xdr:row>
      <xdr:rowOff>159383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E0321C6D-BB21-4B1D-AA90-3EC6F6A81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608439</xdr:colOff>
      <xdr:row>45</xdr:row>
      <xdr:rowOff>95850</xdr:rowOff>
    </xdr:from>
    <xdr:to>
      <xdr:col>36</xdr:col>
      <xdr:colOff>411849</xdr:colOff>
      <xdr:row>68</xdr:row>
      <xdr:rowOff>170850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514972A7-8170-4CD1-9F88-72D2FFDF6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177463</xdr:colOff>
      <xdr:row>103</xdr:row>
      <xdr:rowOff>97086</xdr:rowOff>
    </xdr:from>
    <xdr:to>
      <xdr:col>13</xdr:col>
      <xdr:colOff>4289983</xdr:colOff>
      <xdr:row>126</xdr:row>
      <xdr:rowOff>175896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86635AFF-DB5F-442A-A860-3C2F1093B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209039</xdr:colOff>
      <xdr:row>103</xdr:row>
      <xdr:rowOff>97086</xdr:rowOff>
    </xdr:from>
    <xdr:to>
      <xdr:col>25</xdr:col>
      <xdr:colOff>157229</xdr:colOff>
      <xdr:row>126</xdr:row>
      <xdr:rowOff>175896</xdr:rowOff>
    </xdr:to>
    <xdr:graphicFrame macro="">
      <xdr:nvGraphicFramePr>
        <xdr:cNvPr id="8" name="Chart 15">
          <a:extLst>
            <a:ext uri="{FF2B5EF4-FFF2-40B4-BE49-F238E27FC236}">
              <a16:creationId xmlns:a16="http://schemas.microsoft.com/office/drawing/2014/main" id="{7E5CD4B1-E442-483E-859E-6EDF6C146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16590</xdr:colOff>
      <xdr:row>45</xdr:row>
      <xdr:rowOff>95850</xdr:rowOff>
    </xdr:from>
    <xdr:to>
      <xdr:col>24</xdr:col>
      <xdr:colOff>555330</xdr:colOff>
      <xdr:row>68</xdr:row>
      <xdr:rowOff>170850</xdr:rowOff>
    </xdr:to>
    <xdr:graphicFrame macro="">
      <xdr:nvGraphicFramePr>
        <xdr:cNvPr id="9" name="Chart 16">
          <a:extLst>
            <a:ext uri="{FF2B5EF4-FFF2-40B4-BE49-F238E27FC236}">
              <a16:creationId xmlns:a16="http://schemas.microsoft.com/office/drawing/2014/main" id="{2AF95EC2-3065-4C97-8B31-DF44FC0CA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637309</xdr:colOff>
      <xdr:row>45</xdr:row>
      <xdr:rowOff>96981</xdr:rowOff>
    </xdr:from>
    <xdr:to>
      <xdr:col>14</xdr:col>
      <xdr:colOff>110836</xdr:colOff>
      <xdr:row>68</xdr:row>
      <xdr:rowOff>182652</xdr:rowOff>
    </xdr:to>
    <xdr:graphicFrame macro="">
      <xdr:nvGraphicFramePr>
        <xdr:cNvPr id="14" name="Chart 11" title="Chart">
          <a:extLst>
            <a:ext uri="{FF2B5EF4-FFF2-40B4-BE49-F238E27FC236}">
              <a16:creationId xmlns:a16="http://schemas.microsoft.com/office/drawing/2014/main" id="{A620A47C-D693-4CE5-A503-B25003C84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15</xdr:col>
      <xdr:colOff>313764</xdr:colOff>
      <xdr:row>77</xdr:row>
      <xdr:rowOff>117525</xdr:rowOff>
    </xdr:from>
    <xdr:ext cx="8334000" cy="4723200"/>
    <xdr:graphicFrame macro="">
      <xdr:nvGraphicFramePr>
        <xdr:cNvPr id="6" name="Chart 14">
          <a:extLst>
            <a:ext uri="{FF2B5EF4-FFF2-40B4-BE49-F238E27FC236}">
              <a16:creationId xmlns:a16="http://schemas.microsoft.com/office/drawing/2014/main" id="{5AD93925-D245-4896-A2D8-E07BE2C1B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twoCellAnchor>
    <xdr:from>
      <xdr:col>0</xdr:col>
      <xdr:colOff>1040546</xdr:colOff>
      <xdr:row>45</xdr:row>
      <xdr:rowOff>117503</xdr:rowOff>
    </xdr:from>
    <xdr:to>
      <xdr:col>8</xdr:col>
      <xdr:colOff>895830</xdr:colOff>
      <xdr:row>65</xdr:row>
      <xdr:rowOff>79403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131098-E192-E464-0408-2627CCD6A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50074</xdr:colOff>
      <xdr:row>41</xdr:row>
      <xdr:rowOff>91167</xdr:rowOff>
    </xdr:from>
    <xdr:ext cx="10096500" cy="5457825"/>
    <xdr:graphicFrame macro="">
      <xdr:nvGraphicFramePr>
        <xdr:cNvPr id="1380869563" name="Chart 34">
          <a:extLst>
            <a:ext uri="{FF2B5EF4-FFF2-40B4-BE49-F238E27FC236}">
              <a16:creationId xmlns:a16="http://schemas.microsoft.com/office/drawing/2014/main" id="{00000000-0008-0000-0600-0000BB654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247650</xdr:colOff>
      <xdr:row>41</xdr:row>
      <xdr:rowOff>161925</xdr:rowOff>
    </xdr:from>
    <xdr:ext cx="12506325" cy="4229100"/>
    <xdr:graphicFrame macro="">
      <xdr:nvGraphicFramePr>
        <xdr:cNvPr id="11434182" name="Chart 35">
          <a:extLst>
            <a:ext uri="{FF2B5EF4-FFF2-40B4-BE49-F238E27FC236}">
              <a16:creationId xmlns:a16="http://schemas.microsoft.com/office/drawing/2014/main" id="{00000000-0008-0000-0600-0000C678A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209550</xdr:colOff>
      <xdr:row>66</xdr:row>
      <xdr:rowOff>28575</xdr:rowOff>
    </xdr:from>
    <xdr:ext cx="12411075" cy="3971925"/>
    <xdr:graphicFrame macro="">
      <xdr:nvGraphicFramePr>
        <xdr:cNvPr id="261130642" name="Chart 36">
          <a:extLst>
            <a:ext uri="{FF2B5EF4-FFF2-40B4-BE49-F238E27FC236}">
              <a16:creationId xmlns:a16="http://schemas.microsoft.com/office/drawing/2014/main" id="{00000000-0008-0000-0600-000092899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411480</xdr:colOff>
      <xdr:row>41</xdr:row>
      <xdr:rowOff>102870</xdr:rowOff>
    </xdr:from>
    <xdr:ext cx="11384280" cy="4286250"/>
    <xdr:graphicFrame macro="">
      <xdr:nvGraphicFramePr>
        <xdr:cNvPr id="1019237961" name="Chart 37">
          <a:extLst>
            <a:ext uri="{FF2B5EF4-FFF2-40B4-BE49-F238E27FC236}">
              <a16:creationId xmlns:a16="http://schemas.microsoft.com/office/drawing/2014/main" id="{00000000-0008-0000-0600-00004956C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20</xdr:col>
      <xdr:colOff>371475</xdr:colOff>
      <xdr:row>66</xdr:row>
      <xdr:rowOff>171450</xdr:rowOff>
    </xdr:from>
    <xdr:ext cx="9505950" cy="3971925"/>
    <xdr:graphicFrame macro="">
      <xdr:nvGraphicFramePr>
        <xdr:cNvPr id="1278641395" name="Chart 38">
          <a:extLst>
            <a:ext uri="{FF2B5EF4-FFF2-40B4-BE49-F238E27FC236}">
              <a16:creationId xmlns:a16="http://schemas.microsoft.com/office/drawing/2014/main" id="{00000000-0008-0000-0600-0000F3843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57</xdr:col>
      <xdr:colOff>41092</xdr:colOff>
      <xdr:row>41</xdr:row>
      <xdr:rowOff>57149</xdr:rowOff>
    </xdr:from>
    <xdr:ext cx="10137051" cy="5527222"/>
    <xdr:graphicFrame macro="">
      <xdr:nvGraphicFramePr>
        <xdr:cNvPr id="1828927299" name="Chart 39">
          <a:extLst>
            <a:ext uri="{FF2B5EF4-FFF2-40B4-BE49-F238E27FC236}">
              <a16:creationId xmlns:a16="http://schemas.microsoft.com/office/drawing/2014/main" id="{00000000-0008-0000-0600-000043370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twoCellAnchor>
    <xdr:from>
      <xdr:col>1</xdr:col>
      <xdr:colOff>665018</xdr:colOff>
      <xdr:row>140</xdr:row>
      <xdr:rowOff>69271</xdr:rowOff>
    </xdr:from>
    <xdr:to>
      <xdr:col>6</xdr:col>
      <xdr:colOff>397565</xdr:colOff>
      <xdr:row>158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B7929-3C86-4F11-908C-7C7474B73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140</xdr:row>
      <xdr:rowOff>0</xdr:rowOff>
    </xdr:from>
    <xdr:to>
      <xdr:col>21</xdr:col>
      <xdr:colOff>435428</xdr:colOff>
      <xdr:row>162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9794AC-08E3-4B38-87EA-4957B2374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</xdr:col>
      <xdr:colOff>141514</xdr:colOff>
      <xdr:row>89</xdr:row>
      <xdr:rowOff>185056</xdr:rowOff>
    </xdr:from>
    <xdr:ext cx="12506325" cy="4229100"/>
    <xdr:graphicFrame macro="">
      <xdr:nvGraphicFramePr>
        <xdr:cNvPr id="4" name="Chart 35">
          <a:extLst>
            <a:ext uri="{FF2B5EF4-FFF2-40B4-BE49-F238E27FC236}">
              <a16:creationId xmlns:a16="http://schemas.microsoft.com/office/drawing/2014/main" id="{5D691325-7A07-46B5-B637-01FF5E418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144</xdr:row>
      <xdr:rowOff>84679</xdr:rowOff>
    </xdr:from>
    <xdr:to>
      <xdr:col>9</xdr:col>
      <xdr:colOff>393960</xdr:colOff>
      <xdr:row>167</xdr:row>
      <xdr:rowOff>163489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139FAE66-8BD0-4670-9E0A-1EAB23A94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146846</xdr:colOff>
      <xdr:row>199</xdr:row>
      <xdr:rowOff>80573</xdr:rowOff>
    </xdr:from>
    <xdr:to>
      <xdr:col>13</xdr:col>
      <xdr:colOff>4259366</xdr:colOff>
      <xdr:row>222</xdr:row>
      <xdr:rowOff>159383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6D995618-C92C-4C94-8D24-317F5E6E3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608439</xdr:colOff>
      <xdr:row>113</xdr:row>
      <xdr:rowOff>95850</xdr:rowOff>
    </xdr:from>
    <xdr:to>
      <xdr:col>36</xdr:col>
      <xdr:colOff>411849</xdr:colOff>
      <xdr:row>136</xdr:row>
      <xdr:rowOff>170850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2D81783A-E96D-438D-9A6A-293D5260D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177463</xdr:colOff>
      <xdr:row>171</xdr:row>
      <xdr:rowOff>97086</xdr:rowOff>
    </xdr:from>
    <xdr:to>
      <xdr:col>13</xdr:col>
      <xdr:colOff>4289983</xdr:colOff>
      <xdr:row>194</xdr:row>
      <xdr:rowOff>175896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B05079B2-759A-49B7-A6DE-9C6442C99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1008446</xdr:colOff>
      <xdr:row>199</xdr:row>
      <xdr:rowOff>80573</xdr:rowOff>
    </xdr:from>
    <xdr:to>
      <xdr:col>24</xdr:col>
      <xdr:colOff>537536</xdr:colOff>
      <xdr:row>222</xdr:row>
      <xdr:rowOff>159383</xdr:rowOff>
    </xdr:to>
    <xdr:graphicFrame macro="">
      <xdr:nvGraphicFramePr>
        <xdr:cNvPr id="6" name="Chart 13">
          <a:extLst>
            <a:ext uri="{FF2B5EF4-FFF2-40B4-BE49-F238E27FC236}">
              <a16:creationId xmlns:a16="http://schemas.microsoft.com/office/drawing/2014/main" id="{D1388878-E1CB-4B28-B771-8C2BF34E2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252863</xdr:colOff>
      <xdr:row>144</xdr:row>
      <xdr:rowOff>84679</xdr:rowOff>
    </xdr:from>
    <xdr:to>
      <xdr:col>25</xdr:col>
      <xdr:colOff>201053</xdr:colOff>
      <xdr:row>167</xdr:row>
      <xdr:rowOff>163489</xdr:rowOff>
    </xdr:to>
    <xdr:graphicFrame macro="">
      <xdr:nvGraphicFramePr>
        <xdr:cNvPr id="7" name="Chart 14">
          <a:extLst>
            <a:ext uri="{FF2B5EF4-FFF2-40B4-BE49-F238E27FC236}">
              <a16:creationId xmlns:a16="http://schemas.microsoft.com/office/drawing/2014/main" id="{8A3975FD-4557-47BC-8E39-5E23FC890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209039</xdr:colOff>
      <xdr:row>171</xdr:row>
      <xdr:rowOff>97086</xdr:rowOff>
    </xdr:from>
    <xdr:to>
      <xdr:col>25</xdr:col>
      <xdr:colOff>157229</xdr:colOff>
      <xdr:row>194</xdr:row>
      <xdr:rowOff>175896</xdr:rowOff>
    </xdr:to>
    <xdr:graphicFrame macro="">
      <xdr:nvGraphicFramePr>
        <xdr:cNvPr id="8" name="Chart 15">
          <a:extLst>
            <a:ext uri="{FF2B5EF4-FFF2-40B4-BE49-F238E27FC236}">
              <a16:creationId xmlns:a16="http://schemas.microsoft.com/office/drawing/2014/main" id="{279EBB12-36B2-4493-A94A-946FF0B80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16590</xdr:colOff>
      <xdr:row>113</xdr:row>
      <xdr:rowOff>95850</xdr:rowOff>
    </xdr:from>
    <xdr:to>
      <xdr:col>24</xdr:col>
      <xdr:colOff>555330</xdr:colOff>
      <xdr:row>136</xdr:row>
      <xdr:rowOff>170850</xdr:rowOff>
    </xdr:to>
    <xdr:graphicFrame macro="">
      <xdr:nvGraphicFramePr>
        <xdr:cNvPr id="9" name="Chart 16">
          <a:extLst>
            <a:ext uri="{FF2B5EF4-FFF2-40B4-BE49-F238E27FC236}">
              <a16:creationId xmlns:a16="http://schemas.microsoft.com/office/drawing/2014/main" id="{2C5A663D-452B-4AF4-83B7-CCBC4FE2B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1152662</xdr:colOff>
      <xdr:row>113</xdr:row>
      <xdr:rowOff>95250</xdr:rowOff>
    </xdr:from>
    <xdr:to>
      <xdr:col>9</xdr:col>
      <xdr:colOff>644027</xdr:colOff>
      <xdr:row>136</xdr:row>
      <xdr:rowOff>171450</xdr:rowOff>
    </xdr:to>
    <xdr:graphicFrame macro="">
      <xdr:nvGraphicFramePr>
        <xdr:cNvPr id="10" name="Chart 17">
          <a:extLst>
            <a:ext uri="{FF2B5EF4-FFF2-40B4-BE49-F238E27FC236}">
              <a16:creationId xmlns:a16="http://schemas.microsoft.com/office/drawing/2014/main" id="{452FF262-F565-4F1F-9212-31DBF6928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175278</xdr:colOff>
      <xdr:row>144</xdr:row>
      <xdr:rowOff>84679</xdr:rowOff>
    </xdr:from>
    <xdr:to>
      <xdr:col>13</xdr:col>
      <xdr:colOff>4287798</xdr:colOff>
      <xdr:row>167</xdr:row>
      <xdr:rowOff>163489</xdr:rowOff>
    </xdr:to>
    <xdr:graphicFrame macro="">
      <xdr:nvGraphicFramePr>
        <xdr:cNvPr id="11" name="Chart 18">
          <a:extLst>
            <a:ext uri="{FF2B5EF4-FFF2-40B4-BE49-F238E27FC236}">
              <a16:creationId xmlns:a16="http://schemas.microsoft.com/office/drawing/2014/main" id="{7DCED1D4-F6D7-4B83-9236-F049284C7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302427</xdr:colOff>
      <xdr:row>144</xdr:row>
      <xdr:rowOff>84679</xdr:rowOff>
    </xdr:from>
    <xdr:to>
      <xdr:col>36</xdr:col>
      <xdr:colOff>44530</xdr:colOff>
      <xdr:row>167</xdr:row>
      <xdr:rowOff>28407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51837F4-CC02-4FEA-8461-DAD69188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281645</xdr:colOff>
      <xdr:row>171</xdr:row>
      <xdr:rowOff>97086</xdr:rowOff>
    </xdr:from>
    <xdr:to>
      <xdr:col>36</xdr:col>
      <xdr:colOff>23748</xdr:colOff>
      <xdr:row>194</xdr:row>
      <xdr:rowOff>50166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DDF8A49-76C6-4AA9-85D8-D704C2C9B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637309</xdr:colOff>
      <xdr:row>113</xdr:row>
      <xdr:rowOff>96981</xdr:rowOff>
    </xdr:from>
    <xdr:to>
      <xdr:col>14</xdr:col>
      <xdr:colOff>110836</xdr:colOff>
      <xdr:row>136</xdr:row>
      <xdr:rowOff>182652</xdr:rowOff>
    </xdr:to>
    <xdr:graphicFrame macro="">
      <xdr:nvGraphicFramePr>
        <xdr:cNvPr id="14" name="Chart 11" title="Chart">
          <a:extLst>
            <a:ext uri="{FF2B5EF4-FFF2-40B4-BE49-F238E27FC236}">
              <a16:creationId xmlns:a16="http://schemas.microsoft.com/office/drawing/2014/main" id="{5E859E0E-3BD2-4CF4-9506-5698DA812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170</xdr:row>
      <xdr:rowOff>-1</xdr:rowOff>
    </xdr:from>
    <xdr:to>
      <xdr:col>9</xdr:col>
      <xdr:colOff>1055914</xdr:colOff>
      <xdr:row>192</xdr:row>
      <xdr:rowOff>32656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31A3983-2D20-4BCD-89F9-73E30BDBB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405740</xdr:colOff>
      <xdr:row>44</xdr:row>
      <xdr:rowOff>63335</xdr:rowOff>
    </xdr:from>
    <xdr:to>
      <xdr:col>40</xdr:col>
      <xdr:colOff>13854</xdr:colOff>
      <xdr:row>68</xdr:row>
      <xdr:rowOff>2970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02EA7-4819-4163-AC56-BF39E1D6B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318653</xdr:colOff>
      <xdr:row>70</xdr:row>
      <xdr:rowOff>83128</xdr:rowOff>
    </xdr:from>
    <xdr:to>
      <xdr:col>39</xdr:col>
      <xdr:colOff>550689</xdr:colOff>
      <xdr:row>94</xdr:row>
      <xdr:rowOff>22910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42507C-91E8-4F5C-846A-83EDACDA7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13856</xdr:colOff>
      <xdr:row>44</xdr:row>
      <xdr:rowOff>55418</xdr:rowOff>
    </xdr:from>
    <xdr:to>
      <xdr:col>25</xdr:col>
      <xdr:colOff>314696</xdr:colOff>
      <xdr:row>67</xdr:row>
      <xdr:rowOff>230580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06B9C8-A178-440A-A449-AEC303C7F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70</xdr:row>
      <xdr:rowOff>69272</xdr:rowOff>
    </xdr:from>
    <xdr:to>
      <xdr:col>25</xdr:col>
      <xdr:colOff>301307</xdr:colOff>
      <xdr:row>94</xdr:row>
      <xdr:rowOff>9054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B7D27A-21EC-48F2-A082-12D0BAFC4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290945</xdr:colOff>
      <xdr:row>44</xdr:row>
      <xdr:rowOff>27709</xdr:rowOff>
    </xdr:from>
    <xdr:to>
      <xdr:col>12</xdr:col>
      <xdr:colOff>37604</xdr:colOff>
      <xdr:row>67</xdr:row>
      <xdr:rowOff>202871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42D588-2584-440D-967A-927B51FDF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304799</xdr:colOff>
      <xdr:row>70</xdr:row>
      <xdr:rowOff>55417</xdr:rowOff>
    </xdr:from>
    <xdr:to>
      <xdr:col>12</xdr:col>
      <xdr:colOff>51925</xdr:colOff>
      <xdr:row>93</xdr:row>
      <xdr:rowOff>230726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C8FF97-BE16-49F6-A2F7-62928A0E6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620487</xdr:colOff>
      <xdr:row>44</xdr:row>
      <xdr:rowOff>114300</xdr:rowOff>
    </xdr:from>
    <xdr:to>
      <xdr:col>57</xdr:col>
      <xdr:colOff>381001</xdr:colOff>
      <xdr:row>68</xdr:row>
      <xdr:rowOff>53935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2FA7F7-C725-4A3B-A112-D0EE606EE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533400</xdr:colOff>
      <xdr:row>70</xdr:row>
      <xdr:rowOff>134093</xdr:rowOff>
    </xdr:from>
    <xdr:to>
      <xdr:col>57</xdr:col>
      <xdr:colOff>289186</xdr:colOff>
      <xdr:row>94</xdr:row>
      <xdr:rowOff>73875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146A2D-C32D-477E-862E-D3514824D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87087</xdr:colOff>
      <xdr:row>44</xdr:row>
      <xdr:rowOff>0</xdr:rowOff>
    </xdr:from>
    <xdr:to>
      <xdr:col>75</xdr:col>
      <xdr:colOff>38101</xdr:colOff>
      <xdr:row>67</xdr:row>
      <xdr:rowOff>168235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2EFECF-122C-4D69-8E06-580D90465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0</xdr:colOff>
      <xdr:row>70</xdr:row>
      <xdr:rowOff>19793</xdr:rowOff>
    </xdr:from>
    <xdr:to>
      <xdr:col>74</xdr:col>
      <xdr:colOff>574936</xdr:colOff>
      <xdr:row>93</xdr:row>
      <xdr:rowOff>188175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ED97F9-3A8B-4B6C-9500-C8214A7C1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0</xdr:colOff>
      <xdr:row>114</xdr:row>
      <xdr:rowOff>0</xdr:rowOff>
    </xdr:from>
    <xdr:to>
      <xdr:col>76</xdr:col>
      <xdr:colOff>211477</xdr:colOff>
      <xdr:row>137</xdr:row>
      <xdr:rowOff>167123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A2C4E6-7B6F-486B-8BFF-122E763C0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253646</xdr:colOff>
      <xdr:row>114</xdr:row>
      <xdr:rowOff>125889</xdr:rowOff>
    </xdr:from>
    <xdr:to>
      <xdr:col>55</xdr:col>
      <xdr:colOff>7923</xdr:colOff>
      <xdr:row>138</xdr:row>
      <xdr:rowOff>64412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5D6E38-4C3B-3923-510F-811D6AEBE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495300</xdr:colOff>
      <xdr:row>3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3257D26-2B8F-9D2E-32F8-B59B73F66ED2}"/>
            </a:ext>
          </a:extLst>
        </xdr:cNvPr>
        <xdr:cNvSpPr/>
      </xdr:nvSpPr>
      <xdr:spPr>
        <a:xfrm>
          <a:off x="0" y="0"/>
          <a:ext cx="9029700" cy="716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Carbo</a:t>
          </a:r>
          <a:r>
            <a:rPr lang="en-US" sz="1100" b="1" baseline="0"/>
            <a:t>n Capture</a:t>
          </a:r>
          <a:endParaRPr lang="en-US" sz="1100" b="1"/>
        </a:p>
      </xdr:txBody>
    </xdr:sp>
    <xdr:clientData/>
  </xdr:twoCellAnchor>
  <xdr:twoCellAnchor>
    <xdr:from>
      <xdr:col>0</xdr:col>
      <xdr:colOff>182880</xdr:colOff>
      <xdr:row>4</xdr:row>
      <xdr:rowOff>91440</xdr:rowOff>
    </xdr:from>
    <xdr:to>
      <xdr:col>3</xdr:col>
      <xdr:colOff>251460</xdr:colOff>
      <xdr:row>9</xdr:row>
      <xdr:rowOff>121920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6E4F092-B73B-AD56-2CC5-BBF64FA5480B}"/>
            </a:ext>
          </a:extLst>
        </xdr:cNvPr>
        <xdr:cNvSpPr/>
      </xdr:nvSpPr>
      <xdr:spPr>
        <a:xfrm>
          <a:off x="182880" y="822960"/>
          <a:ext cx="1897380" cy="944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</a:t>
          </a:r>
          <a:r>
            <a:rPr lang="en-US" sz="1100" baseline="0"/>
            <a:t> CO2 Capture</a:t>
          </a:r>
          <a:endParaRPr lang="en-US" sz="1100"/>
        </a:p>
      </xdr:txBody>
    </xdr:sp>
    <xdr:clientData/>
  </xdr:twoCellAnchor>
  <xdr:twoCellAnchor>
    <xdr:from>
      <xdr:col>3</xdr:col>
      <xdr:colOff>563880</xdr:colOff>
      <xdr:row>4</xdr:row>
      <xdr:rowOff>99060</xdr:rowOff>
    </xdr:from>
    <xdr:to>
      <xdr:col>7</xdr:col>
      <xdr:colOff>22860</xdr:colOff>
      <xdr:row>9</xdr:row>
      <xdr:rowOff>129540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41CA545-5A41-4E04-B531-8519AB62A25F}"/>
            </a:ext>
          </a:extLst>
        </xdr:cNvPr>
        <xdr:cNvSpPr/>
      </xdr:nvSpPr>
      <xdr:spPr>
        <a:xfrm>
          <a:off x="2392680" y="830580"/>
          <a:ext cx="1897380" cy="944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CO2 Recovery</a:t>
          </a:r>
          <a:endParaRPr lang="en-US">
            <a:effectLst/>
          </a:endParaRPr>
        </a:p>
      </xdr:txBody>
    </xdr:sp>
    <xdr:clientData/>
  </xdr:twoCellAnchor>
  <xdr:twoCellAnchor>
    <xdr:from>
      <xdr:col>7</xdr:col>
      <xdr:colOff>358140</xdr:colOff>
      <xdr:row>4</xdr:row>
      <xdr:rowOff>114300</xdr:rowOff>
    </xdr:from>
    <xdr:to>
      <xdr:col>10</xdr:col>
      <xdr:colOff>426720</xdr:colOff>
      <xdr:row>9</xdr:row>
      <xdr:rowOff>144780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234DCB5-BBE9-419A-BA44-A4DFD4724175}"/>
            </a:ext>
          </a:extLst>
        </xdr:cNvPr>
        <xdr:cNvSpPr/>
      </xdr:nvSpPr>
      <xdr:spPr>
        <a:xfrm>
          <a:off x="4625340" y="845820"/>
          <a:ext cx="1897380" cy="944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CO2 Capture Efficiency</a:t>
          </a:r>
          <a:endParaRPr lang="en-US" sz="1100"/>
        </a:p>
      </xdr:txBody>
    </xdr:sp>
    <xdr:clientData/>
  </xdr:twoCellAnchor>
  <xdr:twoCellAnchor>
    <xdr:from>
      <xdr:col>11</xdr:col>
      <xdr:colOff>213360</xdr:colOff>
      <xdr:row>4</xdr:row>
      <xdr:rowOff>106680</xdr:rowOff>
    </xdr:from>
    <xdr:to>
      <xdr:col>14</xdr:col>
      <xdr:colOff>281940</xdr:colOff>
      <xdr:row>9</xdr:row>
      <xdr:rowOff>137160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22AB16E-5287-D8AC-C237-4B741DF43A01}"/>
            </a:ext>
          </a:extLst>
        </xdr:cNvPr>
        <xdr:cNvSpPr/>
      </xdr:nvSpPr>
      <xdr:spPr>
        <a:xfrm>
          <a:off x="6918960" y="838200"/>
          <a:ext cx="1897380" cy="944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CO2 Recovery Efficiency</a:t>
          </a:r>
          <a:endParaRPr lang="en-US" sz="1100"/>
        </a:p>
      </xdr:txBody>
    </xdr:sp>
    <xdr:clientData/>
  </xdr:twoCellAnchor>
  <xdr:oneCellAnchor>
    <xdr:from>
      <xdr:col>0</xdr:col>
      <xdr:colOff>0</xdr:colOff>
      <xdr:row>11</xdr:row>
      <xdr:rowOff>21770</xdr:rowOff>
    </xdr:from>
    <xdr:ext cx="6139543" cy="4191001"/>
    <xdr:graphicFrame macro="">
      <xdr:nvGraphicFramePr>
        <xdr:cNvPr id="7" name="Chart 35">
          <a:extLst>
            <a:ext uri="{FF2B5EF4-FFF2-40B4-BE49-F238E27FC236}">
              <a16:creationId xmlns:a16="http://schemas.microsoft.com/office/drawing/2014/main" id="{688FF552-9D8B-4945-A6DF-9A8D46F7C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21772</xdr:rowOff>
    </xdr:from>
    <xdr:ext cx="6204857" cy="4060371"/>
    <xdr:graphicFrame macro="">
      <xdr:nvGraphicFramePr>
        <xdr:cNvPr id="8" name="Chart 36">
          <a:extLst>
            <a:ext uri="{FF2B5EF4-FFF2-40B4-BE49-F238E27FC236}">
              <a16:creationId xmlns:a16="http://schemas.microsoft.com/office/drawing/2014/main" id="{C7D012E9-E014-4C26-9F1C-4D42A4B50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217713</xdr:colOff>
      <xdr:row>11</xdr:row>
      <xdr:rowOff>21771</xdr:rowOff>
    </xdr:from>
    <xdr:ext cx="7380515" cy="4212771"/>
    <xdr:graphicFrame macro="">
      <xdr:nvGraphicFramePr>
        <xdr:cNvPr id="9" name="Chart 37">
          <a:extLst>
            <a:ext uri="{FF2B5EF4-FFF2-40B4-BE49-F238E27FC236}">
              <a16:creationId xmlns:a16="http://schemas.microsoft.com/office/drawing/2014/main" id="{A8E5F3E9-61FA-459E-BB55-36F81FF85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250371</xdr:colOff>
      <xdr:row>35</xdr:row>
      <xdr:rowOff>10886</xdr:rowOff>
    </xdr:from>
    <xdr:ext cx="7903029" cy="4060371"/>
    <xdr:graphicFrame macro="">
      <xdr:nvGraphicFramePr>
        <xdr:cNvPr id="10" name="Chart 38">
          <a:extLst>
            <a:ext uri="{FF2B5EF4-FFF2-40B4-BE49-F238E27FC236}">
              <a16:creationId xmlns:a16="http://schemas.microsoft.com/office/drawing/2014/main" id="{4F427B01-3355-4D37-91F7-7B063295C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15</xdr:col>
      <xdr:colOff>478973</xdr:colOff>
      <xdr:row>0</xdr:row>
      <xdr:rowOff>54430</xdr:rowOff>
    </xdr:from>
    <xdr:to>
      <xdr:col>18</xdr:col>
      <xdr:colOff>522515</xdr:colOff>
      <xdr:row>3</xdr:row>
      <xdr:rowOff>163287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4237740-0473-D11D-F4C2-95CD0DBCDE17}"/>
            </a:ext>
          </a:extLst>
        </xdr:cNvPr>
        <xdr:cNvSpPr/>
      </xdr:nvSpPr>
      <xdr:spPr>
        <a:xfrm>
          <a:off x="9622973" y="54430"/>
          <a:ext cx="1872342" cy="6640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Run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76</xdr:row>
      <xdr:rowOff>84679</xdr:rowOff>
    </xdr:from>
    <xdr:to>
      <xdr:col>9</xdr:col>
      <xdr:colOff>393960</xdr:colOff>
      <xdr:row>99</xdr:row>
      <xdr:rowOff>163489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E3C62A4C-520B-4FFC-852B-34B81FECC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146846</xdr:colOff>
      <xdr:row>131</xdr:row>
      <xdr:rowOff>80573</xdr:rowOff>
    </xdr:from>
    <xdr:to>
      <xdr:col>13</xdr:col>
      <xdr:colOff>4259366</xdr:colOff>
      <xdr:row>154</xdr:row>
      <xdr:rowOff>159383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D970BC41-496A-4729-8630-8C4C6A8A2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608439</xdr:colOff>
      <xdr:row>45</xdr:row>
      <xdr:rowOff>95850</xdr:rowOff>
    </xdr:from>
    <xdr:to>
      <xdr:col>36</xdr:col>
      <xdr:colOff>411849</xdr:colOff>
      <xdr:row>68</xdr:row>
      <xdr:rowOff>170850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57F84320-9FD4-4E96-9442-A0317CE55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177463</xdr:colOff>
      <xdr:row>103</xdr:row>
      <xdr:rowOff>97086</xdr:rowOff>
    </xdr:from>
    <xdr:to>
      <xdr:col>13</xdr:col>
      <xdr:colOff>4289983</xdr:colOff>
      <xdr:row>126</xdr:row>
      <xdr:rowOff>175896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8A93E7F4-ABCD-4E21-81AD-EAEA11935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1008446</xdr:colOff>
      <xdr:row>131</xdr:row>
      <xdr:rowOff>80573</xdr:rowOff>
    </xdr:from>
    <xdr:to>
      <xdr:col>24</xdr:col>
      <xdr:colOff>537536</xdr:colOff>
      <xdr:row>154</xdr:row>
      <xdr:rowOff>159383</xdr:rowOff>
    </xdr:to>
    <xdr:graphicFrame macro="">
      <xdr:nvGraphicFramePr>
        <xdr:cNvPr id="6" name="Chart 13">
          <a:extLst>
            <a:ext uri="{FF2B5EF4-FFF2-40B4-BE49-F238E27FC236}">
              <a16:creationId xmlns:a16="http://schemas.microsoft.com/office/drawing/2014/main" id="{DA93ED6E-3C44-4DB9-869E-77D08BACA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252863</xdr:colOff>
      <xdr:row>76</xdr:row>
      <xdr:rowOff>84679</xdr:rowOff>
    </xdr:from>
    <xdr:to>
      <xdr:col>25</xdr:col>
      <xdr:colOff>201053</xdr:colOff>
      <xdr:row>99</xdr:row>
      <xdr:rowOff>163489</xdr:rowOff>
    </xdr:to>
    <xdr:graphicFrame macro="">
      <xdr:nvGraphicFramePr>
        <xdr:cNvPr id="7" name="Chart 14">
          <a:extLst>
            <a:ext uri="{FF2B5EF4-FFF2-40B4-BE49-F238E27FC236}">
              <a16:creationId xmlns:a16="http://schemas.microsoft.com/office/drawing/2014/main" id="{6C4AB822-B1E3-4BC9-B3A5-C3BD0FD21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209039</xdr:colOff>
      <xdr:row>103</xdr:row>
      <xdr:rowOff>97086</xdr:rowOff>
    </xdr:from>
    <xdr:to>
      <xdr:col>25</xdr:col>
      <xdr:colOff>157229</xdr:colOff>
      <xdr:row>126</xdr:row>
      <xdr:rowOff>175896</xdr:rowOff>
    </xdr:to>
    <xdr:graphicFrame macro="">
      <xdr:nvGraphicFramePr>
        <xdr:cNvPr id="8" name="Chart 15">
          <a:extLst>
            <a:ext uri="{FF2B5EF4-FFF2-40B4-BE49-F238E27FC236}">
              <a16:creationId xmlns:a16="http://schemas.microsoft.com/office/drawing/2014/main" id="{D0428F45-ACDF-4551-ADBC-25370C293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16590</xdr:colOff>
      <xdr:row>45</xdr:row>
      <xdr:rowOff>95850</xdr:rowOff>
    </xdr:from>
    <xdr:to>
      <xdr:col>24</xdr:col>
      <xdr:colOff>555330</xdr:colOff>
      <xdr:row>68</xdr:row>
      <xdr:rowOff>170850</xdr:rowOff>
    </xdr:to>
    <xdr:graphicFrame macro="">
      <xdr:nvGraphicFramePr>
        <xdr:cNvPr id="9" name="Chart 16">
          <a:extLst>
            <a:ext uri="{FF2B5EF4-FFF2-40B4-BE49-F238E27FC236}">
              <a16:creationId xmlns:a16="http://schemas.microsoft.com/office/drawing/2014/main" id="{6F345E14-02BF-44D1-9027-9D25DC6C5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1152662</xdr:colOff>
      <xdr:row>45</xdr:row>
      <xdr:rowOff>95250</xdr:rowOff>
    </xdr:from>
    <xdr:to>
      <xdr:col>9</xdr:col>
      <xdr:colOff>644027</xdr:colOff>
      <xdr:row>68</xdr:row>
      <xdr:rowOff>171450</xdr:rowOff>
    </xdr:to>
    <xdr:graphicFrame macro="">
      <xdr:nvGraphicFramePr>
        <xdr:cNvPr id="10" name="Chart 17">
          <a:extLst>
            <a:ext uri="{FF2B5EF4-FFF2-40B4-BE49-F238E27FC236}">
              <a16:creationId xmlns:a16="http://schemas.microsoft.com/office/drawing/2014/main" id="{FFD5D1B0-A67C-462F-B391-0BFAC7E68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175278</xdr:colOff>
      <xdr:row>76</xdr:row>
      <xdr:rowOff>84679</xdr:rowOff>
    </xdr:from>
    <xdr:to>
      <xdr:col>13</xdr:col>
      <xdr:colOff>4287798</xdr:colOff>
      <xdr:row>99</xdr:row>
      <xdr:rowOff>163489</xdr:rowOff>
    </xdr:to>
    <xdr:graphicFrame macro="">
      <xdr:nvGraphicFramePr>
        <xdr:cNvPr id="11" name="Chart 18">
          <a:extLst>
            <a:ext uri="{FF2B5EF4-FFF2-40B4-BE49-F238E27FC236}">
              <a16:creationId xmlns:a16="http://schemas.microsoft.com/office/drawing/2014/main" id="{3827CA67-42EC-45EA-B687-C1E5A8169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302427</xdr:colOff>
      <xdr:row>76</xdr:row>
      <xdr:rowOff>84679</xdr:rowOff>
    </xdr:from>
    <xdr:to>
      <xdr:col>36</xdr:col>
      <xdr:colOff>44530</xdr:colOff>
      <xdr:row>99</xdr:row>
      <xdr:rowOff>28407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C2063D6-B3E7-4A79-9F9B-651D71A83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281645</xdr:colOff>
      <xdr:row>103</xdr:row>
      <xdr:rowOff>97086</xdr:rowOff>
    </xdr:from>
    <xdr:to>
      <xdr:col>36</xdr:col>
      <xdr:colOff>23748</xdr:colOff>
      <xdr:row>126</xdr:row>
      <xdr:rowOff>50166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13C2AAB-1C72-44E2-99B9-606760066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637309</xdr:colOff>
      <xdr:row>45</xdr:row>
      <xdr:rowOff>96981</xdr:rowOff>
    </xdr:from>
    <xdr:to>
      <xdr:col>14</xdr:col>
      <xdr:colOff>110836</xdr:colOff>
      <xdr:row>68</xdr:row>
      <xdr:rowOff>182652</xdr:rowOff>
    </xdr:to>
    <xdr:graphicFrame macro="">
      <xdr:nvGraphicFramePr>
        <xdr:cNvPr id="14" name="Chart 11" title="Chart">
          <a:extLst>
            <a:ext uri="{FF2B5EF4-FFF2-40B4-BE49-F238E27FC236}">
              <a16:creationId xmlns:a16="http://schemas.microsoft.com/office/drawing/2014/main" id="{B5507B03-8FA1-4250-9584-1C06B3EAA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5</xdr:row>
      <xdr:rowOff>106680</xdr:rowOff>
    </xdr:from>
    <xdr:to>
      <xdr:col>14</xdr:col>
      <xdr:colOff>7620</xdr:colOff>
      <xdr:row>22</xdr:row>
      <xdr:rowOff>176138</xdr:rowOff>
    </xdr:to>
    <xdr:graphicFrame macro="">
      <xdr:nvGraphicFramePr>
        <xdr:cNvPr id="2" name="Chart 11" title="Chart">
          <a:extLst>
            <a:ext uri="{FF2B5EF4-FFF2-40B4-BE49-F238E27FC236}">
              <a16:creationId xmlns:a16="http://schemas.microsoft.com/office/drawing/2014/main" id="{86EB9838-B5B9-45AA-ACA8-0DDDB0B2A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533400</xdr:colOff>
      <xdr:row>46</xdr:row>
      <xdr:rowOff>9525</xdr:rowOff>
    </xdr:from>
    <xdr:ext cx="7905750" cy="4867275"/>
    <xdr:graphicFrame macro="">
      <xdr:nvGraphicFramePr>
        <xdr:cNvPr id="2" name="Chart 21">
          <a:extLst>
            <a:ext uri="{FF2B5EF4-FFF2-40B4-BE49-F238E27FC236}">
              <a16:creationId xmlns:a16="http://schemas.microsoft.com/office/drawing/2014/main" id="{C5498EA0-D0B0-4866-8EA6-9E071F112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257175</xdr:colOff>
      <xdr:row>46</xdr:row>
      <xdr:rowOff>38100</xdr:rowOff>
    </xdr:from>
    <xdr:ext cx="8543925" cy="4867275"/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C3457BD6-3A8C-4D17-93B5-00843B09B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495300</xdr:colOff>
      <xdr:row>74</xdr:row>
      <xdr:rowOff>123825</xdr:rowOff>
    </xdr:from>
    <xdr:ext cx="7753350" cy="5048250"/>
    <xdr:graphicFrame macro="">
      <xdr:nvGraphicFramePr>
        <xdr:cNvPr id="4" name="Chart 24">
          <a:extLst>
            <a:ext uri="{FF2B5EF4-FFF2-40B4-BE49-F238E27FC236}">
              <a16:creationId xmlns:a16="http://schemas.microsoft.com/office/drawing/2014/main" id="{B85F17E4-809E-4372-9E59-FFA6C0ED7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19</xdr:col>
      <xdr:colOff>323850</xdr:colOff>
      <xdr:row>74</xdr:row>
      <xdr:rowOff>19050</xdr:rowOff>
    </xdr:from>
    <xdr:ext cx="8048625" cy="5124450"/>
    <xdr:graphicFrame macro="">
      <xdr:nvGraphicFramePr>
        <xdr:cNvPr id="5" name="Chart 25">
          <a:extLst>
            <a:ext uri="{FF2B5EF4-FFF2-40B4-BE49-F238E27FC236}">
              <a16:creationId xmlns:a16="http://schemas.microsoft.com/office/drawing/2014/main" id="{DC9A6484-BF7E-4339-8FB4-B67FAC76F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161925</xdr:rowOff>
    </xdr:from>
    <xdr:ext cx="8296275" cy="2771775"/>
    <xdr:graphicFrame macro="">
      <xdr:nvGraphicFramePr>
        <xdr:cNvPr id="648337958" name="Chart 40">
          <a:extLst>
            <a:ext uri="{FF2B5EF4-FFF2-40B4-BE49-F238E27FC236}">
              <a16:creationId xmlns:a16="http://schemas.microsoft.com/office/drawing/2014/main" id="{00000000-0008-0000-0700-000026DAA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257175</xdr:colOff>
      <xdr:row>39</xdr:row>
      <xdr:rowOff>161925</xdr:rowOff>
    </xdr:from>
    <xdr:ext cx="18945225" cy="2771775"/>
    <xdr:graphicFrame macro="">
      <xdr:nvGraphicFramePr>
        <xdr:cNvPr id="1798399893" name="Chart 41">
          <a:extLst>
            <a:ext uri="{FF2B5EF4-FFF2-40B4-BE49-F238E27FC236}">
              <a16:creationId xmlns:a16="http://schemas.microsoft.com/office/drawing/2014/main" id="{00000000-0008-0000-0700-000095673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619125</xdr:colOff>
      <xdr:row>39</xdr:row>
      <xdr:rowOff>142875</xdr:rowOff>
    </xdr:from>
    <xdr:ext cx="6067425" cy="2762250"/>
    <xdr:graphicFrame macro="">
      <xdr:nvGraphicFramePr>
        <xdr:cNvPr id="395235021" name="Chart 42">
          <a:extLst>
            <a:ext uri="{FF2B5EF4-FFF2-40B4-BE49-F238E27FC236}">
              <a16:creationId xmlns:a16="http://schemas.microsoft.com/office/drawing/2014/main" id="{00000000-0008-0000-0700-0000CDCE8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25</xdr:col>
      <xdr:colOff>295275</xdr:colOff>
      <xdr:row>55</xdr:row>
      <xdr:rowOff>38100</xdr:rowOff>
    </xdr:from>
    <xdr:ext cx="14697075" cy="4391025"/>
    <xdr:graphicFrame macro="">
      <xdr:nvGraphicFramePr>
        <xdr:cNvPr id="637118350" name="Chart 43">
          <a:extLst>
            <a:ext uri="{FF2B5EF4-FFF2-40B4-BE49-F238E27FC236}">
              <a16:creationId xmlns:a16="http://schemas.microsoft.com/office/drawing/2014/main" id="{00000000-0008-0000-0700-00008EA7F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476250</xdr:colOff>
      <xdr:row>55</xdr:row>
      <xdr:rowOff>0</xdr:rowOff>
    </xdr:from>
    <xdr:ext cx="20507325" cy="4105275"/>
    <xdr:graphicFrame macro="">
      <xdr:nvGraphicFramePr>
        <xdr:cNvPr id="1983645336" name="Chart 44">
          <a:extLst>
            <a:ext uri="{FF2B5EF4-FFF2-40B4-BE49-F238E27FC236}">
              <a16:creationId xmlns:a16="http://schemas.microsoft.com/office/drawing/2014/main" id="{00000000-0008-0000-0700-000098063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409575</xdr:colOff>
      <xdr:row>78</xdr:row>
      <xdr:rowOff>9525</xdr:rowOff>
    </xdr:from>
    <xdr:ext cx="11287125" cy="3009900"/>
    <xdr:graphicFrame macro="">
      <xdr:nvGraphicFramePr>
        <xdr:cNvPr id="1858577608" name="Chart 45">
          <a:extLst>
            <a:ext uri="{FF2B5EF4-FFF2-40B4-BE49-F238E27FC236}">
              <a16:creationId xmlns:a16="http://schemas.microsoft.com/office/drawing/2014/main" id="{00000000-0008-0000-0700-0000C8A4C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43</xdr:col>
      <xdr:colOff>266700</xdr:colOff>
      <xdr:row>5</xdr:row>
      <xdr:rowOff>171450</xdr:rowOff>
    </xdr:from>
    <xdr:ext cx="8258175" cy="3752850"/>
    <xdr:graphicFrame macro="">
      <xdr:nvGraphicFramePr>
        <xdr:cNvPr id="1135417165" name="Chart 46">
          <a:extLst>
            <a:ext uri="{FF2B5EF4-FFF2-40B4-BE49-F238E27FC236}">
              <a16:creationId xmlns:a16="http://schemas.microsoft.com/office/drawing/2014/main" id="{00000000-0008-0000-0700-00004D17A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</xdr:row>
      <xdr:rowOff>28575</xdr:rowOff>
    </xdr:from>
    <xdr:ext cx="5981700" cy="2628900"/>
    <xdr:graphicFrame macro="">
      <xdr:nvGraphicFramePr>
        <xdr:cNvPr id="1763524341" name="Chart 47">
          <a:extLst>
            <a:ext uri="{FF2B5EF4-FFF2-40B4-BE49-F238E27FC236}">
              <a16:creationId xmlns:a16="http://schemas.microsoft.com/office/drawing/2014/main" id="{00000000-0008-0000-0800-0000F53E1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647700</xdr:colOff>
      <xdr:row>2</xdr:row>
      <xdr:rowOff>95250</xdr:rowOff>
    </xdr:from>
    <xdr:ext cx="9096375" cy="4343400"/>
    <xdr:graphicFrame macro="">
      <xdr:nvGraphicFramePr>
        <xdr:cNvPr id="612673863" name="Chart 48">
          <a:extLst>
            <a:ext uri="{FF2B5EF4-FFF2-40B4-BE49-F238E27FC236}">
              <a16:creationId xmlns:a16="http://schemas.microsoft.com/office/drawing/2014/main" id="{00000000-0008-0000-0800-000047A98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495300</xdr:colOff>
      <xdr:row>2</xdr:row>
      <xdr:rowOff>57150</xdr:rowOff>
    </xdr:from>
    <xdr:ext cx="8305800" cy="4191000"/>
    <xdr:graphicFrame macro="">
      <xdr:nvGraphicFramePr>
        <xdr:cNvPr id="307530382" name="Chart 49">
          <a:extLst>
            <a:ext uri="{FF2B5EF4-FFF2-40B4-BE49-F238E27FC236}">
              <a16:creationId xmlns:a16="http://schemas.microsoft.com/office/drawing/2014/main" id="{00000000-0008-0000-0800-00008E8A5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C7">
  <tableColumns count="2">
    <tableColumn id="1" xr3:uid="{00000000-0010-0000-0000-000001000000}" name="Operating Hours"/>
    <tableColumn id="2" xr3:uid="{00000000-0010-0000-0000-000002000000}" name="Hours"/>
  </tableColumns>
  <tableStyleInfo name="Al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2:F7">
  <tableColumns count="2">
    <tableColumn id="1" xr3:uid="{00000000-0010-0000-0100-000001000000}" name="CO₂ Capture Cumulatives"/>
    <tableColumn id="2" xr3:uid="{00000000-0010-0000-0100-000002000000}" name="Kg"/>
  </tableColumns>
  <tableStyleInfo name="All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L2:M7">
  <tableColumns count="2">
    <tableColumn id="1" xr3:uid="{00000000-0010-0000-0200-000001000000}" name="CO₂ Recovery Cumulatives"/>
    <tableColumn id="2" xr3:uid="{00000000-0010-0000-0200-000002000000}" name="Kg"/>
  </tableColumns>
  <tableStyleInfo name="All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E1410F-D0FB-4C03-96A6-32549CB70942}" name="Table_279" displayName="Table_279" ref="B11:C16">
  <tableColumns count="2">
    <tableColumn id="1" xr3:uid="{509ECC00-6E2A-4D2E-A365-4D7A3852AF36}" name="Q Flue Gas In"/>
    <tableColumn id="2" xr3:uid="{AF678868-AC5C-42A5-9AC0-14A8808AC038}" name="Nm3/hr"/>
  </tableColumns>
  <tableStyleInfo name="All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14B2FE-5694-4925-AD96-773AD7C9A6DC}" name="Table_210" displayName="Table_210" ref="E11:F16">
  <tableColumns count="2">
    <tableColumn id="1" xr3:uid="{BA193EC4-A319-41E3-9991-7D26BD25E716}" name="CO₂ Capture"/>
    <tableColumn id="2" xr3:uid="{218EF8AC-17D6-4431-B84E-9157558BD85D}" name="Kg"/>
  </tableColumns>
  <tableStyleInfo name="All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1694A4-4799-4D39-8D0A-45C91C0CE806}" name="Table_27" displayName="Table_27" ref="H2:I7">
  <tableColumns count="2">
    <tableColumn id="1" xr3:uid="{B8DEF4BF-EC46-43F1-8AF5-C97845764BF7}" name="CO₂ Out Cumulatives"/>
    <tableColumn id="2" xr3:uid="{48F8208F-FC58-4DC9-8613-197892FC37B0}" name="Kg"/>
  </tableColumns>
  <tableStyleInfo name="All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94748E-6724-46C5-A805-234DF4B75F11}" name="Table_2108" displayName="Table_2108" ref="E19:F20">
  <tableColumns count="2">
    <tableColumn id="1" xr3:uid="{B5833955-3889-49B0-8887-20B22DDB2504}" name="CO₂ Capture Efficiency"/>
    <tableColumn id="2" xr3:uid="{B4037D50-A9D3-4633-BB19-21B5B43A9DB1}" name="%">
      <calculatedColumnFormula>'All Run w Tables'!O107</calculatedColumnFormula>
    </tableColumn>
  </tableColumns>
  <tableStyleInfo name="All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904009-FFA1-4A0D-A025-346E685F92EE}" name="Table10" displayName="Table10" ref="L19:M20" totalsRowShown="0" headerRowDxfId="15">
  <autoFilter ref="L19:M20" xr:uid="{DC904009-FFA1-4A0D-A025-346E685F92EE}">
    <filterColumn colId="0" hiddenButton="1"/>
    <filterColumn colId="1" hiddenButton="1"/>
  </autoFilter>
  <tableColumns count="2">
    <tableColumn id="1" xr3:uid="{C441DE5C-9FA7-4233-B84C-D6AAC9665EFB}" name="CO₂ Recovery Efficiency" dataDxfId="14"/>
    <tableColumn id="2" xr3:uid="{1DE087D2-8FFC-4528-B0B1-E8C3AB371C93}" name="%" dataDxfId="13">
      <calculatedColumnFormula>'All Run w Tables'!U107</calculatedColumnFormula>
    </tableColumn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01EF44-CF2B-496B-94FC-486EED5F573E}" name="Table11" displayName="Table11" ref="BW2:BX105" totalsRowShown="0" headerRowDxfId="12" tableBorderDxfId="11">
  <autoFilter ref="BW2:BX105" xr:uid="{DB01EF44-CF2B-496B-94FC-486EED5F573E}">
    <filterColumn colId="0" hiddenButton="1"/>
    <filterColumn colId="1" hiddenButton="1"/>
  </autoFilter>
  <tableColumns count="2">
    <tableColumn id="1" xr3:uid="{B71842CB-9033-4078-A482-AA3394E4125D}" name="Cycle" dataDxfId="10"/>
    <tableColumn id="2" xr3:uid="{E7B24367-017D-4E7F-8AAE-B5BE19ABD3A9}" name="% Captured" dataDxfId="9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2F93CD-FF97-48A9-ABDE-750BCD39C7F6}" name="Table1113" displayName="Table1113" ref="BZ2:CA105" totalsRowShown="0" headerRowDxfId="8" tableBorderDxfId="7">
  <autoFilter ref="BZ2:CA105" xr:uid="{EC2F93CD-FF97-48A9-ABDE-750BCD39C7F6}">
    <filterColumn colId="0" hiddenButton="1"/>
    <filterColumn colId="1" hiddenButton="1"/>
  </autoFilter>
  <tableColumns count="2">
    <tableColumn id="1" xr3:uid="{B08904F7-FBD1-4B84-B4B2-7B39066431A6}" name="Cycle" dataDxfId="6"/>
    <tableColumn id="2" xr3:uid="{AD89630A-BABB-425C-A14A-B7ED38C3176E}" name="% Recovery" dataDxfId="5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90A220-A731-4E23-8BAD-3000AB7BCBFB}" name="Table13" displayName="Table13" ref="B23:D28" totalsRowShown="0" headerRowDxfId="4" dataDxfId="3">
  <autoFilter ref="B23:D28" xr:uid="{A090A220-A731-4E23-8BAD-3000AB7BCBFB}"/>
  <tableColumns count="3">
    <tableColumn id="1" xr3:uid="{0D806BD3-398D-4C19-88EB-5EAF843DBE27}" name="Run" dataDxfId="2"/>
    <tableColumn id="2" xr3:uid="{2F1F1EB5-3001-4810-92B4-92AB7AB5C90B}" name="CO₂_Capture_Kg" dataDxfId="1"/>
    <tableColumn id="3" xr3:uid="{2225AC7F-288D-4CD1-8300-90512F0108E1}" name="CO₂_Recovery_Kg" dataDxfId="0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21:C24">
  <tableColumns count="2">
    <tableColumn id="1" xr3:uid="{00000000-0010-0000-0300-000001000000}" name="Operating Hours"/>
    <tableColumn id="2" xr3:uid="{00000000-0010-0000-0300-000002000000}" name="Hours"/>
  </tableColumns>
  <tableStyleInfo name="Reserved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G21:H24">
  <tableColumns count="2">
    <tableColumn id="1" xr3:uid="{00000000-0010-0000-0400-000001000000}" name="CO₂ Captured"/>
    <tableColumn id="2" xr3:uid="{00000000-0010-0000-0400-000002000000}" name="Kg"/>
  </tableColumns>
  <tableStyleInfo name="Reserve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000"/>
  <sheetViews>
    <sheetView showGridLines="0" topLeftCell="AB1" zoomScale="33" zoomScaleNormal="33" workbookViewId="0">
      <selection activeCell="AZ10" sqref="AZ10"/>
    </sheetView>
  </sheetViews>
  <sheetFormatPr defaultColWidth="12.6640625" defaultRowHeight="15" customHeight="1"/>
  <cols>
    <col min="1" max="1" width="19.44140625" bestFit="1" customWidth="1"/>
    <col min="2" max="2" width="7.6640625" customWidth="1"/>
    <col min="3" max="3" width="13.6640625" customWidth="1"/>
    <col min="4" max="4" width="14.33203125" bestFit="1" customWidth="1"/>
    <col min="5" max="5" width="12.6640625" customWidth="1"/>
    <col min="6" max="7" width="8.44140625" customWidth="1"/>
    <col min="8" max="8" width="6.33203125" customWidth="1"/>
    <col min="9" max="9" width="8.109375" customWidth="1"/>
    <col min="10" max="10" width="9.33203125" customWidth="1"/>
    <col min="11" max="11" width="8.44140625" customWidth="1"/>
    <col min="12" max="12" width="9" customWidth="1"/>
    <col min="13" max="13" width="15.5546875" customWidth="1"/>
    <col min="14" max="14" width="17.109375" bestFit="1" customWidth="1"/>
    <col min="15" max="15" width="8.109375" customWidth="1"/>
    <col min="16" max="16" width="10.109375" customWidth="1"/>
    <col min="17" max="17" width="10.6640625" customWidth="1"/>
    <col min="18" max="18" width="16" customWidth="1"/>
    <col min="19" max="19" width="10.6640625" customWidth="1"/>
    <col min="20" max="24" width="24.33203125" customWidth="1"/>
    <col min="25" max="25" width="14.6640625" customWidth="1"/>
    <col min="26" max="26" width="18.33203125" customWidth="1"/>
    <col min="27" max="28" width="27.6640625" customWidth="1"/>
    <col min="29" max="29" width="8.6640625" bestFit="1" customWidth="1"/>
    <col min="30" max="30" width="42.5546875" customWidth="1"/>
    <col min="31" max="31" width="14.33203125" customWidth="1"/>
    <col min="32" max="32" width="7.6640625" customWidth="1"/>
    <col min="33" max="33" width="17.6640625" customWidth="1"/>
    <col min="34" max="34" width="16.109375" customWidth="1"/>
    <col min="35" max="36" width="8.6640625" customWidth="1"/>
    <col min="37" max="37" width="23.6640625" customWidth="1"/>
    <col min="38" max="39" width="8.6640625" customWidth="1"/>
    <col min="40" max="40" width="14.33203125" customWidth="1"/>
    <col min="41" max="41" width="16.6640625" customWidth="1"/>
    <col min="42" max="48" width="8.6640625" customWidth="1"/>
    <col min="49" max="49" width="10.109375" customWidth="1"/>
    <col min="50" max="53" width="8.6640625" customWidth="1"/>
    <col min="54" max="54" width="19.6640625" customWidth="1"/>
    <col min="55" max="55" width="18.6640625" bestFit="1" customWidth="1"/>
    <col min="56" max="56" width="5.33203125" customWidth="1"/>
    <col min="57" max="57" width="7.33203125" customWidth="1"/>
    <col min="58" max="58" width="7.88671875" customWidth="1"/>
    <col min="59" max="59" width="7.33203125" customWidth="1"/>
    <col min="60" max="62" width="7.6640625" customWidth="1"/>
  </cols>
  <sheetData>
    <row r="1" spans="1:54" ht="16.5" customHeight="1">
      <c r="A1" s="1" t="s">
        <v>0</v>
      </c>
      <c r="C1" s="39"/>
    </row>
    <row r="2" spans="1:54" ht="16.5" customHeight="1">
      <c r="C2" s="39"/>
      <c r="BB2" s="40"/>
    </row>
    <row r="3" spans="1:54" ht="16.5" customHeight="1">
      <c r="C3" s="39"/>
      <c r="BB3" s="40"/>
    </row>
    <row r="4" spans="1:54" ht="16.5" customHeight="1">
      <c r="B4" s="262" t="s">
        <v>1</v>
      </c>
      <c r="C4" s="264" t="s">
        <v>2</v>
      </c>
      <c r="D4" s="264" t="s">
        <v>3</v>
      </c>
      <c r="E4" s="266" t="s">
        <v>4</v>
      </c>
      <c r="F4" s="267"/>
      <c r="G4" s="267"/>
      <c r="H4" s="267"/>
      <c r="I4" s="267"/>
      <c r="J4" s="267"/>
      <c r="K4" s="267"/>
      <c r="L4" s="268"/>
      <c r="M4" s="269" t="s">
        <v>5</v>
      </c>
      <c r="N4" s="267"/>
      <c r="O4" s="267"/>
      <c r="P4" s="268"/>
      <c r="Q4" s="270" t="s">
        <v>6</v>
      </c>
      <c r="R4" s="267"/>
      <c r="S4" s="267"/>
      <c r="T4" s="267"/>
      <c r="U4" s="267"/>
      <c r="V4" s="267"/>
      <c r="W4" s="267"/>
      <c r="X4" s="267"/>
      <c r="Y4" s="268"/>
      <c r="Z4" s="271" t="s">
        <v>7</v>
      </c>
      <c r="AA4" s="267"/>
      <c r="AB4" s="267"/>
      <c r="AC4" s="267"/>
      <c r="AD4" s="267"/>
      <c r="AE4" s="267"/>
      <c r="AF4" s="267"/>
      <c r="AG4" s="272"/>
      <c r="AN4" s="40"/>
    </row>
    <row r="5" spans="1:54" ht="48" customHeight="1">
      <c r="B5" s="263"/>
      <c r="C5" s="265"/>
      <c r="D5" s="265"/>
      <c r="E5" s="201" t="s">
        <v>8</v>
      </c>
      <c r="F5" s="273" t="s">
        <v>9</v>
      </c>
      <c r="G5" s="274"/>
      <c r="H5" s="275"/>
      <c r="I5" s="202" t="s">
        <v>10</v>
      </c>
      <c r="J5" s="273" t="s">
        <v>11</v>
      </c>
      <c r="K5" s="274"/>
      <c r="L5" s="276"/>
      <c r="M5" s="203" t="s">
        <v>8</v>
      </c>
      <c r="N5" s="204" t="s">
        <v>9</v>
      </c>
      <c r="O5" s="204" t="s">
        <v>10</v>
      </c>
      <c r="P5" s="3" t="s">
        <v>11</v>
      </c>
      <c r="Q5" s="277" t="s">
        <v>12</v>
      </c>
      <c r="R5" s="274"/>
      <c r="S5" s="275"/>
      <c r="T5" s="278" t="s">
        <v>13</v>
      </c>
      <c r="U5" s="274"/>
      <c r="V5" s="275"/>
      <c r="W5" s="278" t="s">
        <v>14</v>
      </c>
      <c r="X5" s="274"/>
      <c r="Y5" s="276"/>
      <c r="Z5" s="205" t="s">
        <v>8</v>
      </c>
      <c r="AA5" s="206" t="s">
        <v>9</v>
      </c>
      <c r="AB5" s="206" t="s">
        <v>10</v>
      </c>
      <c r="AC5" s="207" t="s">
        <v>15</v>
      </c>
      <c r="AD5" s="207" t="s">
        <v>16</v>
      </c>
      <c r="AE5" s="259" t="s">
        <v>17</v>
      </c>
      <c r="AF5" s="260"/>
      <c r="AG5" s="261"/>
    </row>
    <row r="6" spans="1:54" ht="21">
      <c r="B6" s="42"/>
      <c r="C6" s="43"/>
      <c r="D6" s="43"/>
      <c r="E6" s="208"/>
      <c r="F6" s="202">
        <v>10.1</v>
      </c>
      <c r="G6" s="202">
        <v>14.9</v>
      </c>
      <c r="H6" s="202">
        <v>17.100000000000001</v>
      </c>
      <c r="I6" s="209"/>
      <c r="J6" s="202">
        <v>10.1</v>
      </c>
      <c r="K6" s="202">
        <v>14.9</v>
      </c>
      <c r="L6" s="202">
        <v>17.100000000000001</v>
      </c>
      <c r="M6" s="208"/>
      <c r="N6" s="209"/>
      <c r="O6" s="209"/>
      <c r="P6" s="44"/>
      <c r="Q6" s="210">
        <v>10.1</v>
      </c>
      <c r="R6" s="210">
        <v>14.9</v>
      </c>
      <c r="S6" s="210">
        <v>17.100000000000001</v>
      </c>
      <c r="T6" s="210">
        <v>10.1</v>
      </c>
      <c r="U6" s="210">
        <v>14.9</v>
      </c>
      <c r="V6" s="210">
        <v>17.100000000000001</v>
      </c>
      <c r="W6" s="210">
        <v>10.1</v>
      </c>
      <c r="X6" s="210">
        <v>14.9</v>
      </c>
      <c r="Y6" s="210">
        <v>17.100000000000001</v>
      </c>
      <c r="Z6" s="211"/>
      <c r="AA6" s="212"/>
      <c r="AB6" s="212"/>
      <c r="AC6" s="213"/>
      <c r="AD6" s="213"/>
      <c r="AE6" s="207">
        <v>10.1</v>
      </c>
      <c r="AF6" s="207">
        <v>14.9</v>
      </c>
      <c r="AG6" s="5">
        <v>17.100000000000001</v>
      </c>
    </row>
    <row r="7" spans="1:54" ht="18" customHeight="1">
      <c r="A7" s="6">
        <v>45903</v>
      </c>
      <c r="B7" s="7">
        <v>1</v>
      </c>
      <c r="C7" s="49">
        <v>0.27916666666666667</v>
      </c>
      <c r="D7" s="49">
        <f>C7</f>
        <v>0.27916666666666667</v>
      </c>
      <c r="E7" s="9">
        <v>18.079999999999998</v>
      </c>
      <c r="F7" s="9">
        <v>10.1</v>
      </c>
      <c r="G7" s="9">
        <v>14.9</v>
      </c>
      <c r="H7" s="9">
        <v>17.100000000000001</v>
      </c>
      <c r="I7" s="50">
        <v>48</v>
      </c>
      <c r="J7" s="51">
        <f t="shared" ref="J7:J12" si="0">E7*F7*1.84*(I7/60)*0.01</f>
        <v>2.6879897599999998</v>
      </c>
      <c r="K7" s="51">
        <f t="shared" ref="K7:K12" si="1">E7*G7*1.84*(I7/60)*0.01</f>
        <v>3.96545024</v>
      </c>
      <c r="L7" s="51">
        <f t="shared" ref="L7:L12" si="2">E7*H7*1.84*(I7/60)*0.01</f>
        <v>4.5509529600000009</v>
      </c>
      <c r="M7" s="11">
        <v>15</v>
      </c>
      <c r="N7" s="18">
        <v>5.0000000000000001E-4</v>
      </c>
      <c r="O7" s="50">
        <v>48</v>
      </c>
      <c r="P7" s="52">
        <f t="shared" ref="P7:P12" si="3">M7*N7*1.84*(O7/60)*0.01</f>
        <v>1.1040000000000001E-4</v>
      </c>
      <c r="Q7" s="214">
        <f t="shared" ref="Q7:S7" si="4">IFERROR(J7-$P7,0)</f>
        <v>2.6878793599999997</v>
      </c>
      <c r="R7" s="214">
        <f>IFERROR(K7-$P7,0)</f>
        <v>3.9653398399999999</v>
      </c>
      <c r="S7" s="214">
        <f t="shared" si="4"/>
        <v>4.5508425600000013</v>
      </c>
      <c r="T7" s="53">
        <f t="shared" ref="T7:V7" si="5">Q7</f>
        <v>2.6878793599999997</v>
      </c>
      <c r="U7" s="53">
        <f t="shared" si="5"/>
        <v>3.9653398399999999</v>
      </c>
      <c r="V7" s="53">
        <f t="shared" si="5"/>
        <v>4.5508425600000013</v>
      </c>
      <c r="W7" s="13">
        <f t="shared" ref="W7:Y7" si="6">IFERROR(ROUND(Q7/J7*100,2),0)</f>
        <v>100</v>
      </c>
      <c r="X7" s="13">
        <f t="shared" si="6"/>
        <v>100</v>
      </c>
      <c r="Y7" s="13">
        <f t="shared" si="6"/>
        <v>100</v>
      </c>
      <c r="Z7" s="17">
        <v>0.20002732240437293</v>
      </c>
      <c r="AA7" s="9">
        <v>53.879999999999875</v>
      </c>
      <c r="AB7" s="54">
        <v>61</v>
      </c>
      <c r="AC7" s="55">
        <f t="shared" ref="AC7:AC9" si="7">Z7*AA7*1.84*(AB7/60)*0.01</f>
        <v>0.20161057866666754</v>
      </c>
      <c r="AD7" s="55">
        <f>AC7</f>
        <v>0.20161057866666754</v>
      </c>
      <c r="AE7" s="56">
        <f t="shared" ref="AE7:AG7" si="8">IFERROR(ROUND($AC7/Q7*100,2),0)</f>
        <v>7.5</v>
      </c>
      <c r="AF7" s="56">
        <f>IFERROR(ROUND($AC7/R7*100,2),0)</f>
        <v>5.08</v>
      </c>
      <c r="AG7" s="14">
        <f t="shared" si="8"/>
        <v>4.43</v>
      </c>
    </row>
    <row r="8" spans="1:54" ht="18" customHeight="1">
      <c r="A8" s="6">
        <v>45905</v>
      </c>
      <c r="B8" s="7">
        <v>2</v>
      </c>
      <c r="C8" s="49">
        <v>0.3347222222222222</v>
      </c>
      <c r="D8" s="215">
        <f t="shared" ref="D8:D36" si="9">C8+D7</f>
        <v>0.61388888888888893</v>
      </c>
      <c r="E8" s="9">
        <v>15.32</v>
      </c>
      <c r="F8" s="9">
        <v>10.1</v>
      </c>
      <c r="G8" s="9">
        <v>14.9</v>
      </c>
      <c r="H8" s="9">
        <v>17.100000000000001</v>
      </c>
      <c r="I8" s="50">
        <v>141</v>
      </c>
      <c r="J8" s="51">
        <f t="shared" si="0"/>
        <v>6.6906116800000008</v>
      </c>
      <c r="K8" s="51">
        <f t="shared" si="1"/>
        <v>9.8703083200000012</v>
      </c>
      <c r="L8" s="51">
        <f t="shared" si="2"/>
        <v>11.327669280000002</v>
      </c>
      <c r="M8" s="11">
        <v>15</v>
      </c>
      <c r="N8" s="18">
        <v>1.5898584905660356E-4</v>
      </c>
      <c r="O8" s="50">
        <v>141</v>
      </c>
      <c r="P8" s="52">
        <f t="shared" si="3"/>
        <v>1.0311822169811307E-4</v>
      </c>
      <c r="Q8" s="214">
        <f t="shared" ref="Q8:S8" si="10">IFERROR(J8-$P8,0)</f>
        <v>6.6905085617783024</v>
      </c>
      <c r="R8" s="214">
        <f>IFERROR(K8-$P8,0)</f>
        <v>9.8702052017783029</v>
      </c>
      <c r="S8" s="214">
        <f t="shared" si="10"/>
        <v>11.327566161778304</v>
      </c>
      <c r="T8" s="53">
        <f t="shared" ref="T8:V8" si="11">Q8+T7</f>
        <v>9.3783879217783017</v>
      </c>
      <c r="U8" s="53">
        <f t="shared" si="11"/>
        <v>13.835545041778303</v>
      </c>
      <c r="V8" s="53">
        <f t="shared" si="11"/>
        <v>15.878408721778305</v>
      </c>
      <c r="W8" s="13">
        <f t="shared" ref="W8:Y8" si="12">IFERROR(ROUND(Q8/J8*100,2),0)</f>
        <v>100</v>
      </c>
      <c r="X8" s="13">
        <f t="shared" si="12"/>
        <v>100</v>
      </c>
      <c r="Y8" s="13">
        <f t="shared" si="12"/>
        <v>100</v>
      </c>
      <c r="Z8" s="17">
        <v>0.20002732240437293</v>
      </c>
      <c r="AA8" s="9">
        <v>53.879999999999875</v>
      </c>
      <c r="AB8" s="54">
        <v>61</v>
      </c>
      <c r="AC8" s="55">
        <f t="shared" si="7"/>
        <v>0.20161057866666754</v>
      </c>
      <c r="AD8" s="55">
        <f t="shared" ref="AD8:AD36" si="13">AC8+AD7</f>
        <v>0.40322115733333508</v>
      </c>
      <c r="AE8" s="56">
        <f t="shared" ref="AE8:AG8" si="14">IFERROR(ROUND($AC8/Q8*100,2),0)</f>
        <v>3.01</v>
      </c>
      <c r="AF8" s="56">
        <f t="shared" si="14"/>
        <v>2.04</v>
      </c>
      <c r="AG8" s="14">
        <f t="shared" si="14"/>
        <v>1.78</v>
      </c>
    </row>
    <row r="9" spans="1:54" ht="18" customHeight="1">
      <c r="A9" s="6">
        <v>45908</v>
      </c>
      <c r="B9" s="7">
        <v>3</v>
      </c>
      <c r="C9" s="49">
        <v>0.24722222222222218</v>
      </c>
      <c r="D9" s="215">
        <f t="shared" si="9"/>
        <v>0.86111111111111116</v>
      </c>
      <c r="E9" s="9">
        <v>16.68</v>
      </c>
      <c r="F9" s="9">
        <v>10.1</v>
      </c>
      <c r="G9" s="9">
        <v>14.9</v>
      </c>
      <c r="H9" s="9">
        <v>17.100000000000001</v>
      </c>
      <c r="I9" s="50">
        <v>92</v>
      </c>
      <c r="J9" s="51">
        <f t="shared" si="0"/>
        <v>4.7530438400000001</v>
      </c>
      <c r="K9" s="51">
        <f t="shared" si="1"/>
        <v>7.011916160000002</v>
      </c>
      <c r="L9" s="51">
        <f t="shared" si="2"/>
        <v>8.0472326400000007</v>
      </c>
      <c r="M9" s="11">
        <v>15</v>
      </c>
      <c r="N9" s="18">
        <v>1.6000000000000001E-3</v>
      </c>
      <c r="O9" s="50">
        <v>92</v>
      </c>
      <c r="P9" s="52">
        <f t="shared" si="3"/>
        <v>6.7712000000000013E-4</v>
      </c>
      <c r="Q9" s="214">
        <f t="shared" ref="Q9:S9" si="15">IFERROR(J9-$P9,0)</f>
        <v>4.7523667200000004</v>
      </c>
      <c r="R9" s="214">
        <f>IFERROR(K9-$P9,0)</f>
        <v>7.0112390400000022</v>
      </c>
      <c r="S9" s="214">
        <f t="shared" si="15"/>
        <v>8.0465555200000001</v>
      </c>
      <c r="T9" s="53">
        <f t="shared" ref="T9:V9" si="16">Q9+T8</f>
        <v>14.130754641778303</v>
      </c>
      <c r="U9" s="53">
        <f t="shared" si="16"/>
        <v>20.846784081778306</v>
      </c>
      <c r="V9" s="53">
        <f t="shared" si="16"/>
        <v>23.924964241778305</v>
      </c>
      <c r="W9" s="13">
        <f t="shared" ref="W9:Y9" si="17">IFERROR(ROUND(Q9/J9*100,2),0)</f>
        <v>99.99</v>
      </c>
      <c r="X9" s="13">
        <f t="shared" si="17"/>
        <v>99.99</v>
      </c>
      <c r="Y9" s="13">
        <f t="shared" si="17"/>
        <v>99.99</v>
      </c>
      <c r="Z9" s="11">
        <v>0.5</v>
      </c>
      <c r="AA9" s="9">
        <v>53.879999999999825</v>
      </c>
      <c r="AB9" s="57">
        <v>58.5</v>
      </c>
      <c r="AC9" s="55">
        <f t="shared" si="7"/>
        <v>0.48330359999999845</v>
      </c>
      <c r="AD9" s="55">
        <f t="shared" si="13"/>
        <v>0.88652475733333347</v>
      </c>
      <c r="AE9" s="56">
        <f t="shared" ref="AE9:AG9" si="18">IFERROR(ROUND($AC9/Q9*100,2),0)</f>
        <v>10.17</v>
      </c>
      <c r="AF9" s="56">
        <f t="shared" si="18"/>
        <v>6.89</v>
      </c>
      <c r="AG9" s="14">
        <f t="shared" si="18"/>
        <v>6.01</v>
      </c>
    </row>
    <row r="10" spans="1:54" ht="18" customHeight="1">
      <c r="A10" s="6">
        <v>45909</v>
      </c>
      <c r="B10" s="7">
        <v>4</v>
      </c>
      <c r="C10" s="49">
        <v>0.2805555555555555</v>
      </c>
      <c r="D10" s="215">
        <f t="shared" si="9"/>
        <v>1.1416666666666666</v>
      </c>
      <c r="E10" s="9">
        <v>16.57</v>
      </c>
      <c r="F10" s="9">
        <v>10.1</v>
      </c>
      <c r="G10" s="9">
        <v>14.9</v>
      </c>
      <c r="H10" s="9">
        <v>17.100000000000001</v>
      </c>
      <c r="I10" s="50">
        <v>107.16666666666667</v>
      </c>
      <c r="J10" s="51">
        <f t="shared" si="0"/>
        <v>5.5000948288888898</v>
      </c>
      <c r="K10" s="51">
        <f t="shared" si="1"/>
        <v>8.1140012822222225</v>
      </c>
      <c r="L10" s="51">
        <f t="shared" si="2"/>
        <v>9.3120417400000015</v>
      </c>
      <c r="M10" s="11">
        <v>15</v>
      </c>
      <c r="N10" s="18">
        <v>5.9543478260869578E-4</v>
      </c>
      <c r="O10" s="50">
        <v>107.16666666666667</v>
      </c>
      <c r="P10" s="52">
        <f t="shared" si="3"/>
        <v>2.9352950000000012E-4</v>
      </c>
      <c r="Q10" s="214">
        <f t="shared" ref="Q10:S10" si="19">IFERROR(J10-$P10,0)</f>
        <v>5.4998012993888894</v>
      </c>
      <c r="R10" s="214">
        <f t="shared" si="19"/>
        <v>8.1137077527222221</v>
      </c>
      <c r="S10" s="214">
        <f t="shared" si="19"/>
        <v>9.3117482105000011</v>
      </c>
      <c r="T10" s="53">
        <f t="shared" ref="T10:V10" si="20">Q10+T9</f>
        <v>19.630555941167191</v>
      </c>
      <c r="U10" s="53">
        <f t="shared" si="20"/>
        <v>28.96049183450053</v>
      </c>
      <c r="V10" s="53">
        <f t="shared" si="20"/>
        <v>33.236712452278304</v>
      </c>
      <c r="W10" s="13">
        <f t="shared" ref="W10:Y10" si="21">IFERROR(ROUND(Q10/J10*100,2),0)</f>
        <v>99.99</v>
      </c>
      <c r="X10" s="13">
        <f t="shared" si="21"/>
        <v>100</v>
      </c>
      <c r="Y10" s="13">
        <f t="shared" si="21"/>
        <v>100</v>
      </c>
      <c r="Z10" s="20">
        <v>0.45699453551912583</v>
      </c>
      <c r="AA10" s="9">
        <v>53.879999999999875</v>
      </c>
      <c r="AB10" s="54">
        <v>61</v>
      </c>
      <c r="AC10" s="56">
        <f>ROUND(Z10*AA10*1.84*(AB10/60)*0.01,2)</f>
        <v>0.46</v>
      </c>
      <c r="AD10" s="55">
        <f t="shared" si="13"/>
        <v>1.3465247573333334</v>
      </c>
      <c r="AE10" s="56">
        <f t="shared" ref="AE10:AG10" si="22">IFERROR(ROUND($AC10/Q10*100,2),0)</f>
        <v>8.36</v>
      </c>
      <c r="AF10" s="56">
        <f t="shared" si="22"/>
        <v>5.67</v>
      </c>
      <c r="AG10" s="14">
        <f t="shared" si="22"/>
        <v>4.9400000000000004</v>
      </c>
    </row>
    <row r="11" spans="1:54" ht="18" customHeight="1">
      <c r="A11" s="6">
        <v>45911</v>
      </c>
      <c r="B11" s="7">
        <v>5</v>
      </c>
      <c r="C11" s="49">
        <v>0.27222222222222225</v>
      </c>
      <c r="D11" s="215">
        <f t="shared" si="9"/>
        <v>1.4138888888888888</v>
      </c>
      <c r="E11" s="9">
        <v>16.079999999999998</v>
      </c>
      <c r="F11" s="9">
        <v>10.1</v>
      </c>
      <c r="G11" s="9">
        <v>14.9</v>
      </c>
      <c r="H11" s="9">
        <v>17.100000000000001</v>
      </c>
      <c r="I11" s="50">
        <v>292</v>
      </c>
      <c r="J11" s="51">
        <f t="shared" si="0"/>
        <v>14.543095039999999</v>
      </c>
      <c r="K11" s="51">
        <f t="shared" si="1"/>
        <v>21.454664959999995</v>
      </c>
      <c r="L11" s="51">
        <f t="shared" si="2"/>
        <v>24.622467839999999</v>
      </c>
      <c r="M11" s="11">
        <v>5</v>
      </c>
      <c r="N11" s="18">
        <v>5.0000000000000001E-4</v>
      </c>
      <c r="O11" s="50">
        <v>292</v>
      </c>
      <c r="P11" s="52">
        <f t="shared" si="3"/>
        <v>2.2386666666666667E-4</v>
      </c>
      <c r="Q11" s="214">
        <f t="shared" ref="Q11:S11" si="23">IFERROR(J11-$P11,0)</f>
        <v>14.542871173333332</v>
      </c>
      <c r="R11" s="214">
        <f t="shared" si="23"/>
        <v>21.45444109333333</v>
      </c>
      <c r="S11" s="214">
        <f t="shared" si="23"/>
        <v>24.622243973333333</v>
      </c>
      <c r="T11" s="53">
        <f t="shared" ref="T11:V11" si="24">Q11+T10</f>
        <v>34.173427114500527</v>
      </c>
      <c r="U11" s="53">
        <f t="shared" si="24"/>
        <v>50.41493292783386</v>
      </c>
      <c r="V11" s="53">
        <f t="shared" si="24"/>
        <v>57.858956425611638</v>
      </c>
      <c r="W11" s="13">
        <f t="shared" ref="W11:Y11" si="25">IFERROR(ROUND(Q11/J11*100,2),0)</f>
        <v>100</v>
      </c>
      <c r="X11" s="13">
        <f t="shared" si="25"/>
        <v>100</v>
      </c>
      <c r="Y11" s="13">
        <f t="shared" si="25"/>
        <v>100</v>
      </c>
      <c r="Z11" s="20" t="s">
        <v>18</v>
      </c>
      <c r="AA11" s="9" t="s">
        <v>18</v>
      </c>
      <c r="AB11" s="54" t="s">
        <v>18</v>
      </c>
      <c r="AC11" s="56">
        <v>0</v>
      </c>
      <c r="AD11" s="55">
        <f t="shared" si="13"/>
        <v>1.3465247573333334</v>
      </c>
      <c r="AE11" s="56"/>
      <c r="AF11" s="56"/>
      <c r="AG11" s="14"/>
    </row>
    <row r="12" spans="1:54" ht="18.75" customHeight="1">
      <c r="A12" s="6">
        <v>45912</v>
      </c>
      <c r="B12" s="7">
        <v>6</v>
      </c>
      <c r="C12" s="49">
        <v>0.22152777777777782</v>
      </c>
      <c r="D12" s="215">
        <f t="shared" si="9"/>
        <v>1.6354166666666665</v>
      </c>
      <c r="E12" s="9">
        <v>26.75</v>
      </c>
      <c r="F12" s="9">
        <v>10.1</v>
      </c>
      <c r="G12" s="9">
        <v>14.9</v>
      </c>
      <c r="H12" s="9">
        <v>17.100000000000001</v>
      </c>
      <c r="I12" s="50">
        <v>44.833333333333336</v>
      </c>
      <c r="J12" s="51">
        <f t="shared" si="0"/>
        <v>3.7146060555555565</v>
      </c>
      <c r="K12" s="51">
        <f t="shared" si="1"/>
        <v>5.4799633888888888</v>
      </c>
      <c r="L12" s="51">
        <f t="shared" si="2"/>
        <v>6.2890854999999997</v>
      </c>
      <c r="M12" s="11">
        <v>15</v>
      </c>
      <c r="N12" s="19">
        <v>4.0222222222222241E-5</v>
      </c>
      <c r="O12" s="50">
        <v>44.833333333333336</v>
      </c>
      <c r="P12" s="52">
        <f t="shared" si="3"/>
        <v>8.2951629629629679E-6</v>
      </c>
      <c r="Q12" s="214">
        <f t="shared" ref="Q12:S12" si="26">IFERROR(J12-$P12,0)</f>
        <v>3.7145977603925937</v>
      </c>
      <c r="R12" s="214">
        <f t="shared" si="26"/>
        <v>5.479955093725926</v>
      </c>
      <c r="S12" s="214">
        <f t="shared" si="26"/>
        <v>6.2890772048370369</v>
      </c>
      <c r="T12" s="53">
        <f t="shared" ref="T12:V12" si="27">Q12+T11</f>
        <v>37.888024874893119</v>
      </c>
      <c r="U12" s="53">
        <f t="shared" si="27"/>
        <v>55.894888021559787</v>
      </c>
      <c r="V12" s="53">
        <f t="shared" si="27"/>
        <v>64.14803363044868</v>
      </c>
      <c r="W12" s="13">
        <f t="shared" ref="W12:Y12" si="28">IFERROR(ROUND(Q12/J12*100,2),0)</f>
        <v>100</v>
      </c>
      <c r="X12" s="13">
        <f t="shared" si="28"/>
        <v>100</v>
      </c>
      <c r="Y12" s="13">
        <f t="shared" si="28"/>
        <v>100</v>
      </c>
      <c r="Z12" s="20">
        <v>1.0832894736842078</v>
      </c>
      <c r="AA12" s="9">
        <v>53.880000000000102</v>
      </c>
      <c r="AB12" s="54">
        <v>76</v>
      </c>
      <c r="AC12" s="56">
        <f t="shared" ref="AC12:AC36" si="29">ROUND(Z12*AA12*1.84*(AB12/60)*0.01,2)</f>
        <v>1.36</v>
      </c>
      <c r="AD12" s="55">
        <f t="shared" si="13"/>
        <v>2.7065247573333338</v>
      </c>
      <c r="AE12" s="56">
        <f t="shared" ref="AE12:AG12" si="30">IFERROR(ROUND($AC12/Q12*100,2),0)</f>
        <v>36.61</v>
      </c>
      <c r="AF12" s="56">
        <f t="shared" si="30"/>
        <v>24.82</v>
      </c>
      <c r="AG12" s="14">
        <f t="shared" si="30"/>
        <v>21.62</v>
      </c>
    </row>
    <row r="13" spans="1:54" ht="18.75" customHeight="1">
      <c r="A13" s="6">
        <v>45915</v>
      </c>
      <c r="B13" s="7">
        <v>7</v>
      </c>
      <c r="C13" s="49">
        <v>0.29652777777777778</v>
      </c>
      <c r="D13" s="215">
        <f t="shared" si="9"/>
        <v>1.9319444444444442</v>
      </c>
      <c r="E13" s="9" t="s">
        <v>18</v>
      </c>
      <c r="F13" s="9">
        <v>10.1</v>
      </c>
      <c r="G13" s="9">
        <v>14.9</v>
      </c>
      <c r="H13" s="9">
        <v>17.100000000000001</v>
      </c>
      <c r="I13" s="50" t="s">
        <v>18</v>
      </c>
      <c r="J13" s="51" t="s">
        <v>18</v>
      </c>
      <c r="K13" s="51" t="s">
        <v>18</v>
      </c>
      <c r="L13" s="51" t="s">
        <v>18</v>
      </c>
      <c r="M13" s="11" t="s">
        <v>18</v>
      </c>
      <c r="N13" s="19" t="s">
        <v>18</v>
      </c>
      <c r="O13" s="50" t="s">
        <v>18</v>
      </c>
      <c r="P13" s="52" t="s">
        <v>18</v>
      </c>
      <c r="Q13" s="214">
        <f t="shared" ref="Q13:S13" si="31">IFERROR(J13-$P13,0)</f>
        <v>0</v>
      </c>
      <c r="R13" s="214">
        <f>IFERROR(K13-$P13,0)</f>
        <v>0</v>
      </c>
      <c r="S13" s="214">
        <f t="shared" si="31"/>
        <v>0</v>
      </c>
      <c r="T13" s="53">
        <f t="shared" ref="T13:V13" si="32">Q13+T12</f>
        <v>37.888024874893119</v>
      </c>
      <c r="U13" s="53">
        <f t="shared" si="32"/>
        <v>55.894888021559787</v>
      </c>
      <c r="V13" s="53">
        <f t="shared" si="32"/>
        <v>64.14803363044868</v>
      </c>
      <c r="W13" s="13"/>
      <c r="X13" s="140"/>
      <c r="Y13" s="13"/>
      <c r="Z13" s="11">
        <v>1.34</v>
      </c>
      <c r="AA13" s="9">
        <v>53.88</v>
      </c>
      <c r="AB13" s="16">
        <v>60.833333333333336</v>
      </c>
      <c r="AC13" s="56">
        <f t="shared" si="29"/>
        <v>1.35</v>
      </c>
      <c r="AD13" s="55">
        <f t="shared" si="13"/>
        <v>4.0565247573333334</v>
      </c>
      <c r="AE13" s="56"/>
      <c r="AF13" s="56"/>
      <c r="AG13" s="14"/>
    </row>
    <row r="14" spans="1:54" ht="20.25" customHeight="1">
      <c r="A14" s="6">
        <v>45916</v>
      </c>
      <c r="B14" s="7">
        <v>8</v>
      </c>
      <c r="C14" s="49">
        <v>0.27222222222222225</v>
      </c>
      <c r="D14" s="215">
        <f t="shared" si="9"/>
        <v>2.2041666666666666</v>
      </c>
      <c r="E14" s="16">
        <v>25.37902439024381</v>
      </c>
      <c r="F14" s="9">
        <v>10.1</v>
      </c>
      <c r="G14" s="9">
        <v>14.9</v>
      </c>
      <c r="H14" s="9">
        <v>17.100000000000001</v>
      </c>
      <c r="I14" s="50">
        <v>68.166666666666671</v>
      </c>
      <c r="J14" s="51">
        <f t="shared" ref="J14:J22" si="33">E14*F14*1.84*(I14/60)*0.01</f>
        <v>5.3583974947425297</v>
      </c>
      <c r="K14" s="51">
        <f t="shared" ref="K14:K22" si="34">E14*G14*1.84*(I14/60)*0.01</f>
        <v>7.9049626407587814</v>
      </c>
      <c r="L14" s="51">
        <f t="shared" ref="L14:L22" si="35">E14*H14*1.84*(I14/60)*0.01</f>
        <v>9.072138332682897</v>
      </c>
      <c r="M14" s="20">
        <v>10.487804878048781</v>
      </c>
      <c r="N14" s="18">
        <v>6.9787804878048527E-4</v>
      </c>
      <c r="O14" s="50">
        <v>68.166666666666671</v>
      </c>
      <c r="P14" s="52">
        <f t="shared" ref="P14:P22" si="36">M14*N14*1.84*(O14/60)*0.01</f>
        <v>1.5300399382642556E-4</v>
      </c>
      <c r="Q14" s="214">
        <f t="shared" ref="Q14:S14" si="37">IFERROR(J14-$P14,0)</f>
        <v>5.358244490748703</v>
      </c>
      <c r="R14" s="214">
        <f t="shared" si="37"/>
        <v>7.9048096367649547</v>
      </c>
      <c r="S14" s="214">
        <f t="shared" si="37"/>
        <v>9.0719853286890704</v>
      </c>
      <c r="T14" s="53">
        <f t="shared" ref="T14:V14" si="38">Q14+T13</f>
        <v>43.246269365641822</v>
      </c>
      <c r="U14" s="53">
        <f t="shared" si="38"/>
        <v>63.799697658324739</v>
      </c>
      <c r="V14" s="53">
        <f t="shared" si="38"/>
        <v>73.220018959137747</v>
      </c>
      <c r="W14" s="13">
        <f t="shared" ref="W14:W36" si="39">IFERROR(ROUND(Q14/J14*100,2),0)</f>
        <v>100</v>
      </c>
      <c r="X14" s="13">
        <f t="shared" ref="X14:Y14" si="40">IFERROR(ROUND(R14/K14*100,2),0)</f>
        <v>100</v>
      </c>
      <c r="Y14" s="13">
        <f t="shared" si="40"/>
        <v>100</v>
      </c>
      <c r="Z14" s="20">
        <v>1.3312568306010899</v>
      </c>
      <c r="AA14" s="9">
        <v>53.879999999999875</v>
      </c>
      <c r="AB14" s="54">
        <v>61</v>
      </c>
      <c r="AC14" s="56">
        <f t="shared" si="29"/>
        <v>1.34</v>
      </c>
      <c r="AD14" s="55">
        <f t="shared" si="13"/>
        <v>5.3965247573333333</v>
      </c>
      <c r="AE14" s="56">
        <f t="shared" ref="AE14:AG14" si="41">IFERROR(ROUND($AC14/Q14*100,2),0)</f>
        <v>25.01</v>
      </c>
      <c r="AF14" s="56">
        <f t="shared" si="41"/>
        <v>16.95</v>
      </c>
      <c r="AG14" s="14">
        <f t="shared" si="41"/>
        <v>14.77</v>
      </c>
    </row>
    <row r="15" spans="1:54" ht="18.75" customHeight="1">
      <c r="A15" s="6">
        <v>45922</v>
      </c>
      <c r="B15" s="7">
        <v>9</v>
      </c>
      <c r="C15" s="49">
        <v>0.24791666666666662</v>
      </c>
      <c r="D15" s="215">
        <f t="shared" si="9"/>
        <v>2.4520833333333334</v>
      </c>
      <c r="E15" s="16">
        <v>18.865611814345996</v>
      </c>
      <c r="F15" s="9">
        <v>10.1</v>
      </c>
      <c r="G15" s="9">
        <v>14.9</v>
      </c>
      <c r="H15" s="9">
        <v>17.100000000000001</v>
      </c>
      <c r="I15" s="50">
        <v>78.833333333333329</v>
      </c>
      <c r="J15" s="51">
        <f t="shared" si="33"/>
        <v>4.6064751297233952</v>
      </c>
      <c r="K15" s="51">
        <f t="shared" si="34"/>
        <v>6.7956910329582767</v>
      </c>
      <c r="L15" s="51">
        <f t="shared" si="35"/>
        <v>7.7990816552742652</v>
      </c>
      <c r="M15" s="20">
        <v>12.860759493670885</v>
      </c>
      <c r="N15" s="18">
        <v>7.4373417721518992E-4</v>
      </c>
      <c r="O15" s="50">
        <v>78.833333333333329</v>
      </c>
      <c r="P15" s="52">
        <f t="shared" si="36"/>
        <v>2.312388596271965E-4</v>
      </c>
      <c r="Q15" s="214">
        <f t="shared" ref="Q15:S15" si="42">IFERROR(J15-$P15,0)</f>
        <v>4.6062438908637677</v>
      </c>
      <c r="R15" s="214">
        <f t="shared" si="42"/>
        <v>6.7954597940986492</v>
      </c>
      <c r="S15" s="214">
        <f t="shared" si="42"/>
        <v>7.7988504164146377</v>
      </c>
      <c r="T15" s="53">
        <f t="shared" ref="T15:V15" si="43">Q15+T14</f>
        <v>47.852513256505588</v>
      </c>
      <c r="U15" s="53">
        <f t="shared" si="43"/>
        <v>70.595157452423393</v>
      </c>
      <c r="V15" s="53">
        <f t="shared" si="43"/>
        <v>81.018869375552384</v>
      </c>
      <c r="W15" s="13">
        <f t="shared" si="39"/>
        <v>99.99</v>
      </c>
      <c r="X15" s="13">
        <f t="shared" ref="X15:Y15" si="44">IFERROR(ROUND(R15/K15*100,2),0)</f>
        <v>100</v>
      </c>
      <c r="Y15" s="13">
        <f t="shared" si="44"/>
        <v>100</v>
      </c>
      <c r="Z15" s="20">
        <v>0.98292682926829122</v>
      </c>
      <c r="AA15" s="9">
        <v>53.879999999999754</v>
      </c>
      <c r="AB15" s="54">
        <v>41</v>
      </c>
      <c r="AC15" s="56">
        <f t="shared" si="29"/>
        <v>0.67</v>
      </c>
      <c r="AD15" s="55">
        <f t="shared" si="13"/>
        <v>6.0665247573333332</v>
      </c>
      <c r="AE15" s="56">
        <f t="shared" ref="AE15:AG15" si="45">IFERROR(ROUND($AC15/Q15*100,2),0)</f>
        <v>14.55</v>
      </c>
      <c r="AF15" s="56">
        <f t="shared" si="45"/>
        <v>9.86</v>
      </c>
      <c r="AG15" s="14">
        <f t="shared" si="45"/>
        <v>8.59</v>
      </c>
    </row>
    <row r="16" spans="1:54" ht="18" customHeight="1">
      <c r="A16" s="6">
        <v>45924</v>
      </c>
      <c r="B16" s="7">
        <v>10</v>
      </c>
      <c r="C16" s="49">
        <v>0.2541666666666666</v>
      </c>
      <c r="D16" s="215">
        <f t="shared" si="9"/>
        <v>2.7062499999999998</v>
      </c>
      <c r="E16" s="16">
        <v>19.039613526569994</v>
      </c>
      <c r="F16" s="9">
        <v>10.1</v>
      </c>
      <c r="G16" s="9">
        <v>14.9</v>
      </c>
      <c r="H16" s="9">
        <v>17.100000000000001</v>
      </c>
      <c r="I16" s="50">
        <v>68.833333333333329</v>
      </c>
      <c r="J16" s="51">
        <f t="shared" si="33"/>
        <v>4.0592413728394945</v>
      </c>
      <c r="K16" s="51">
        <f t="shared" si="34"/>
        <v>5.9883857876543027</v>
      </c>
      <c r="L16" s="51">
        <f t="shared" si="35"/>
        <v>6.8725769777777579</v>
      </c>
      <c r="M16" s="20">
        <v>8.169806763285056</v>
      </c>
      <c r="N16" s="21">
        <v>2.7598067632850433E-3</v>
      </c>
      <c r="O16" s="50">
        <v>68.833333333333329</v>
      </c>
      <c r="P16" s="52">
        <f t="shared" si="36"/>
        <v>4.7594397451661518E-4</v>
      </c>
      <c r="Q16" s="214">
        <f t="shared" ref="Q16:S16" si="46">IFERROR(J16-$P16,0)</f>
        <v>4.0587654288649775</v>
      </c>
      <c r="R16" s="214">
        <f t="shared" si="46"/>
        <v>5.9879098436797857</v>
      </c>
      <c r="S16" s="214">
        <f t="shared" si="46"/>
        <v>6.8721010338032409</v>
      </c>
      <c r="T16" s="53">
        <f t="shared" ref="T16:V16" si="47">Q16+T15</f>
        <v>51.911278685370569</v>
      </c>
      <c r="U16" s="53">
        <f t="shared" si="47"/>
        <v>76.583067296103181</v>
      </c>
      <c r="V16" s="53">
        <f t="shared" si="47"/>
        <v>87.890970409355631</v>
      </c>
      <c r="W16" s="13">
        <f t="shared" si="39"/>
        <v>99.99</v>
      </c>
      <c r="X16" s="13">
        <f t="shared" ref="X16:Y16" si="48">IFERROR(ROUND(R16/K16*100,2),0)</f>
        <v>99.99</v>
      </c>
      <c r="Y16" s="13">
        <f t="shared" si="48"/>
        <v>99.99</v>
      </c>
      <c r="Z16" s="20">
        <v>0.35327868852459104</v>
      </c>
      <c r="AA16" s="9">
        <v>53.879999999999875</v>
      </c>
      <c r="AB16" s="54">
        <v>61</v>
      </c>
      <c r="AC16" s="56">
        <f t="shared" si="29"/>
        <v>0.36</v>
      </c>
      <c r="AD16" s="55">
        <f t="shared" si="13"/>
        <v>6.4265247573333335</v>
      </c>
      <c r="AE16" s="56">
        <f t="shared" ref="AE16:AG16" si="49">IFERROR(ROUND($AC16/Q16*100,2),0)</f>
        <v>8.8699999999999992</v>
      </c>
      <c r="AF16" s="56">
        <f t="shared" si="49"/>
        <v>6.01</v>
      </c>
      <c r="AG16" s="14">
        <f t="shared" si="49"/>
        <v>5.24</v>
      </c>
    </row>
    <row r="17" spans="1:33" ht="18.75" customHeight="1">
      <c r="A17" s="6">
        <v>45925</v>
      </c>
      <c r="B17" s="7">
        <v>11</v>
      </c>
      <c r="C17" s="49">
        <v>0.22361111111111115</v>
      </c>
      <c r="D17" s="215">
        <f t="shared" si="9"/>
        <v>2.9298611111111108</v>
      </c>
      <c r="E17" s="16">
        <v>17.254263565891488</v>
      </c>
      <c r="F17" s="9">
        <v>10.1</v>
      </c>
      <c r="G17" s="9">
        <v>14.9</v>
      </c>
      <c r="H17" s="9">
        <v>17.100000000000001</v>
      </c>
      <c r="I17" s="50">
        <v>64.333333333333329</v>
      </c>
      <c r="J17" s="51">
        <f t="shared" si="33"/>
        <v>3.4381152323858779</v>
      </c>
      <c r="K17" s="51">
        <f t="shared" si="34"/>
        <v>5.0720709863910463</v>
      </c>
      <c r="L17" s="51">
        <f t="shared" si="35"/>
        <v>5.8209673736434162</v>
      </c>
      <c r="M17" s="20">
        <v>15.471317829457389</v>
      </c>
      <c r="N17" s="18">
        <v>8.8038759689922552E-4</v>
      </c>
      <c r="O17" s="50">
        <v>64.333333333333329</v>
      </c>
      <c r="P17" s="52">
        <f t="shared" si="36"/>
        <v>2.687223881134287E-4</v>
      </c>
      <c r="Q17" s="214">
        <f t="shared" ref="Q17:S17" si="50">IFERROR(J17-$P17,0)</f>
        <v>3.4378465099977644</v>
      </c>
      <c r="R17" s="214">
        <f t="shared" si="50"/>
        <v>5.0718022640029332</v>
      </c>
      <c r="S17" s="214">
        <f t="shared" si="50"/>
        <v>5.8206986512553032</v>
      </c>
      <c r="T17" s="53">
        <f t="shared" ref="T17:V17" si="51">Q17+T16</f>
        <v>55.34912519536833</v>
      </c>
      <c r="U17" s="53">
        <f t="shared" si="51"/>
        <v>81.654869560106107</v>
      </c>
      <c r="V17" s="53">
        <f t="shared" si="51"/>
        <v>93.71166906061093</v>
      </c>
      <c r="W17" s="13">
        <f t="shared" si="39"/>
        <v>99.99</v>
      </c>
      <c r="X17" s="13">
        <f t="shared" ref="X17:Y17" si="52">IFERROR(ROUND(R17/K17*100,2),0)</f>
        <v>99.99</v>
      </c>
      <c r="Y17" s="13">
        <f t="shared" si="52"/>
        <v>100</v>
      </c>
      <c r="Z17" s="20">
        <v>0.61743169398907038</v>
      </c>
      <c r="AA17" s="9">
        <v>53.879999999999875</v>
      </c>
      <c r="AB17" s="54">
        <v>61</v>
      </c>
      <c r="AC17" s="56">
        <f t="shared" si="29"/>
        <v>0.62</v>
      </c>
      <c r="AD17" s="55">
        <f t="shared" si="13"/>
        <v>7.0465247573333336</v>
      </c>
      <c r="AE17" s="56">
        <f t="shared" ref="AE17:AG17" si="53">IFERROR(ROUND($AC17/Q17*100,2),0)</f>
        <v>18.03</v>
      </c>
      <c r="AF17" s="56">
        <f t="shared" si="53"/>
        <v>12.22</v>
      </c>
      <c r="AG17" s="14">
        <f t="shared" si="53"/>
        <v>10.65</v>
      </c>
    </row>
    <row r="18" spans="1:33" ht="18" customHeight="1">
      <c r="A18" s="6">
        <v>45926</v>
      </c>
      <c r="B18" s="7">
        <v>12</v>
      </c>
      <c r="C18" s="49">
        <v>0.21527777777777785</v>
      </c>
      <c r="D18" s="215">
        <f t="shared" si="9"/>
        <v>3.1451388888888885</v>
      </c>
      <c r="E18" s="16">
        <v>18.801327433628288</v>
      </c>
      <c r="F18" s="9">
        <v>10.1</v>
      </c>
      <c r="G18" s="9">
        <v>14.9</v>
      </c>
      <c r="H18" s="9">
        <v>17.100000000000001</v>
      </c>
      <c r="I18" s="50">
        <v>75.166666666666671</v>
      </c>
      <c r="J18" s="51">
        <f t="shared" si="33"/>
        <v>4.377254025860366</v>
      </c>
      <c r="K18" s="51">
        <f t="shared" si="34"/>
        <v>6.4575331668633149</v>
      </c>
      <c r="L18" s="51">
        <f t="shared" si="35"/>
        <v>7.4109944398229972</v>
      </c>
      <c r="M18" s="20">
        <v>13.846902654867355</v>
      </c>
      <c r="N18" s="21">
        <v>1.2424336283185845E-3</v>
      </c>
      <c r="O18" s="50">
        <v>75.166666666666671</v>
      </c>
      <c r="P18" s="52">
        <f t="shared" si="36"/>
        <v>3.9656803092115748E-4</v>
      </c>
      <c r="Q18" s="214">
        <f t="shared" ref="Q18:S18" si="54">IFERROR(J18-$P18,0)</f>
        <v>4.3768574578294448</v>
      </c>
      <c r="R18" s="214">
        <f t="shared" si="54"/>
        <v>6.4571365988323937</v>
      </c>
      <c r="S18" s="214">
        <f t="shared" si="54"/>
        <v>7.410597871792076</v>
      </c>
      <c r="T18" s="53">
        <f t="shared" ref="T18:V18" si="55">Q18+T17</f>
        <v>59.725982653197775</v>
      </c>
      <c r="U18" s="53">
        <f t="shared" si="55"/>
        <v>88.112006158938499</v>
      </c>
      <c r="V18" s="53">
        <f t="shared" si="55"/>
        <v>101.12226693240301</v>
      </c>
      <c r="W18" s="13">
        <f t="shared" si="39"/>
        <v>99.99</v>
      </c>
      <c r="X18" s="13">
        <f t="shared" ref="X18:Y18" si="56">IFERROR(ROUND(R18/K18*100,2),0)</f>
        <v>99.99</v>
      </c>
      <c r="Y18" s="13">
        <f t="shared" si="56"/>
        <v>99.99</v>
      </c>
      <c r="Z18" s="20">
        <v>0.71112021857923446</v>
      </c>
      <c r="AA18" s="9">
        <v>53.879999999999875</v>
      </c>
      <c r="AB18" s="54">
        <v>61</v>
      </c>
      <c r="AC18" s="56">
        <f t="shared" si="29"/>
        <v>0.72</v>
      </c>
      <c r="AD18" s="55">
        <f t="shared" si="13"/>
        <v>7.7665247573333334</v>
      </c>
      <c r="AE18" s="56">
        <f t="shared" ref="AE18:AG18" si="57">IFERROR(ROUND($AC18/Q18*100,2),0)</f>
        <v>16.45</v>
      </c>
      <c r="AF18" s="56">
        <f t="shared" si="57"/>
        <v>11.15</v>
      </c>
      <c r="AG18" s="14">
        <f t="shared" si="57"/>
        <v>9.7200000000000006</v>
      </c>
    </row>
    <row r="19" spans="1:33" ht="18.75" customHeight="1">
      <c r="A19" s="6">
        <v>45929</v>
      </c>
      <c r="B19" s="7">
        <v>13</v>
      </c>
      <c r="C19" s="49">
        <v>0.25277777777777777</v>
      </c>
      <c r="D19" s="215">
        <f t="shared" si="9"/>
        <v>3.3979166666666663</v>
      </c>
      <c r="E19" s="16">
        <v>16.914675767918091</v>
      </c>
      <c r="F19" s="9">
        <v>10.1</v>
      </c>
      <c r="G19" s="9">
        <v>14.9</v>
      </c>
      <c r="H19" s="9">
        <v>17.100000000000001</v>
      </c>
      <c r="I19" s="50">
        <v>97.5</v>
      </c>
      <c r="J19" s="51">
        <f t="shared" si="33"/>
        <v>5.1080629351535842</v>
      </c>
      <c r="K19" s="51">
        <f t="shared" si="34"/>
        <v>7.5356572013651899</v>
      </c>
      <c r="L19" s="51">
        <f t="shared" si="35"/>
        <v>8.6483045733788426</v>
      </c>
      <c r="M19" s="20">
        <v>8.1744027303754816</v>
      </c>
      <c r="N19" s="18">
        <v>4.7220136518771601E-4</v>
      </c>
      <c r="O19" s="50">
        <v>97.5</v>
      </c>
      <c r="P19" s="52">
        <f t="shared" si="36"/>
        <v>1.1541292745343713E-4</v>
      </c>
      <c r="Q19" s="214">
        <f t="shared" ref="Q19:S19" si="58">IFERROR(J19-$P19,0)</f>
        <v>5.107947522226131</v>
      </c>
      <c r="R19" s="214">
        <f t="shared" si="58"/>
        <v>7.5355417884377367</v>
      </c>
      <c r="S19" s="214">
        <f t="shared" si="58"/>
        <v>8.6481891604513894</v>
      </c>
      <c r="T19" s="53">
        <f t="shared" ref="T19:V19" si="59">Q19+T18</f>
        <v>64.833930175423902</v>
      </c>
      <c r="U19" s="53">
        <f t="shared" si="59"/>
        <v>95.647547947376239</v>
      </c>
      <c r="V19" s="53">
        <f t="shared" si="59"/>
        <v>109.7704560928544</v>
      </c>
      <c r="W19" s="13">
        <f t="shared" si="39"/>
        <v>100</v>
      </c>
      <c r="X19" s="13">
        <f t="shared" ref="X19:Y19" si="60">IFERROR(ROUND(R19/K19*100,2),0)</f>
        <v>100</v>
      </c>
      <c r="Y19" s="13">
        <f t="shared" si="60"/>
        <v>100</v>
      </c>
      <c r="Z19" s="20">
        <v>0.64997267759562849</v>
      </c>
      <c r="AA19" s="9">
        <v>53.879999999999875</v>
      </c>
      <c r="AB19" s="54">
        <v>61</v>
      </c>
      <c r="AC19" s="56">
        <f t="shared" si="29"/>
        <v>0.66</v>
      </c>
      <c r="AD19" s="55">
        <f t="shared" si="13"/>
        <v>8.4265247573333326</v>
      </c>
      <c r="AE19" s="56">
        <f t="shared" ref="AE19:AG19" si="61">IFERROR(ROUND($AC19/Q19*100,2),0)</f>
        <v>12.92</v>
      </c>
      <c r="AF19" s="56">
        <f t="shared" si="61"/>
        <v>8.76</v>
      </c>
      <c r="AG19" s="14">
        <f t="shared" si="61"/>
        <v>7.63</v>
      </c>
    </row>
    <row r="20" spans="1:33" ht="18" customHeight="1">
      <c r="A20" s="6">
        <v>45930</v>
      </c>
      <c r="B20" s="7">
        <v>14</v>
      </c>
      <c r="C20" s="49">
        <v>0.2729166666666667</v>
      </c>
      <c r="D20" s="215">
        <f t="shared" si="9"/>
        <v>3.6708333333333329</v>
      </c>
      <c r="E20" s="16">
        <v>16.450639386189213</v>
      </c>
      <c r="F20" s="9">
        <v>10.1</v>
      </c>
      <c r="G20" s="9">
        <v>14.9</v>
      </c>
      <c r="H20" s="9">
        <v>17.100000000000001</v>
      </c>
      <c r="I20" s="50">
        <v>65</v>
      </c>
      <c r="J20" s="51">
        <f t="shared" si="33"/>
        <v>3.3119523921568534</v>
      </c>
      <c r="K20" s="51">
        <f t="shared" si="34"/>
        <v>4.8859495686274377</v>
      </c>
      <c r="L20" s="51">
        <f t="shared" si="35"/>
        <v>5.6073649411764555</v>
      </c>
      <c r="M20" s="20">
        <v>11.693094629156009</v>
      </c>
      <c r="N20" s="21">
        <v>1.2670843989769824E-3</v>
      </c>
      <c r="O20" s="50">
        <v>65</v>
      </c>
      <c r="P20" s="52">
        <f t="shared" si="36"/>
        <v>2.9533501308861144E-4</v>
      </c>
      <c r="Q20" s="214">
        <f t="shared" ref="Q20:S20" si="62">IFERROR(J20-$P20,0)</f>
        <v>3.3116570571437647</v>
      </c>
      <c r="R20" s="214">
        <f>IFERROR(K20-$P20,0)</f>
        <v>4.8856542336143489</v>
      </c>
      <c r="S20" s="214">
        <f t="shared" si="62"/>
        <v>5.6070696061633667</v>
      </c>
      <c r="T20" s="53">
        <f t="shared" ref="T20:V20" si="63">Q20+T19</f>
        <v>68.145587232567664</v>
      </c>
      <c r="U20" s="53">
        <f t="shared" si="63"/>
        <v>100.53320218099059</v>
      </c>
      <c r="V20" s="53">
        <f t="shared" si="63"/>
        <v>115.37752569901777</v>
      </c>
      <c r="W20" s="13">
        <f t="shared" si="39"/>
        <v>99.99</v>
      </c>
      <c r="X20" s="13">
        <f t="shared" ref="X20:Y20" si="64">IFERROR(ROUND(R20/K20*100,2),0)</f>
        <v>99.99</v>
      </c>
      <c r="Y20" s="13">
        <f t="shared" si="64"/>
        <v>99.99</v>
      </c>
      <c r="Z20" s="20">
        <v>0.63377049180327805</v>
      </c>
      <c r="AA20" s="9">
        <v>53.88</v>
      </c>
      <c r="AB20" s="54">
        <v>61</v>
      </c>
      <c r="AC20" s="56">
        <f t="shared" si="29"/>
        <v>0.64</v>
      </c>
      <c r="AD20" s="55">
        <f t="shared" si="13"/>
        <v>9.0665247573333332</v>
      </c>
      <c r="AE20" s="56">
        <f t="shared" ref="AE20:AG20" si="65">IFERROR(ROUND($AC20/Q20*100,2),0)</f>
        <v>19.329999999999998</v>
      </c>
      <c r="AF20" s="56">
        <f t="shared" si="65"/>
        <v>13.1</v>
      </c>
      <c r="AG20" s="14">
        <f t="shared" si="65"/>
        <v>11.41</v>
      </c>
    </row>
    <row r="21" spans="1:33" ht="18" customHeight="1">
      <c r="A21" s="22">
        <v>45931</v>
      </c>
      <c r="B21" s="7">
        <v>15</v>
      </c>
      <c r="C21" s="49">
        <v>0.21944444444444444</v>
      </c>
      <c r="D21" s="215">
        <f t="shared" si="9"/>
        <v>3.8902777777777775</v>
      </c>
      <c r="E21" s="16">
        <v>14.8</v>
      </c>
      <c r="F21" s="9">
        <v>10.1</v>
      </c>
      <c r="G21" s="9">
        <v>14.9</v>
      </c>
      <c r="H21" s="9">
        <v>17.100000000000001</v>
      </c>
      <c r="I21" s="50">
        <v>50</v>
      </c>
      <c r="J21" s="51">
        <f t="shared" si="33"/>
        <v>2.2920266666666671</v>
      </c>
      <c r="K21" s="51">
        <f t="shared" si="34"/>
        <v>3.3813066666666676</v>
      </c>
      <c r="L21" s="51">
        <f t="shared" si="35"/>
        <v>3.8805600000000009</v>
      </c>
      <c r="M21" s="20">
        <v>11.76</v>
      </c>
      <c r="N21" s="21">
        <v>6.0000000000000001E-3</v>
      </c>
      <c r="O21" s="50">
        <v>50</v>
      </c>
      <c r="P21" s="52">
        <f t="shared" si="36"/>
        <v>1.0819200000000001E-3</v>
      </c>
      <c r="Q21" s="214">
        <f t="shared" ref="Q21:S21" si="66">IFERROR(J21-$P21,0)</f>
        <v>2.2909447466666673</v>
      </c>
      <c r="R21" s="214">
        <f t="shared" si="66"/>
        <v>3.3802247466666677</v>
      </c>
      <c r="S21" s="214">
        <f t="shared" si="66"/>
        <v>3.8794780800000011</v>
      </c>
      <c r="T21" s="53">
        <f t="shared" ref="T21:V21" si="67">Q21+T20</f>
        <v>70.436531979234331</v>
      </c>
      <c r="U21" s="53">
        <f t="shared" si="67"/>
        <v>103.91342692765726</v>
      </c>
      <c r="V21" s="53">
        <f t="shared" si="67"/>
        <v>119.25700377901777</v>
      </c>
      <c r="W21" s="13">
        <f t="shared" si="39"/>
        <v>99.95</v>
      </c>
      <c r="X21" s="13">
        <f t="shared" ref="X21:Y21" si="68">IFERROR(ROUND(R21/K21*100,2),0)</f>
        <v>99.97</v>
      </c>
      <c r="Y21" s="13">
        <f t="shared" si="68"/>
        <v>99.97</v>
      </c>
      <c r="Z21" s="20">
        <v>0.66024590163934371</v>
      </c>
      <c r="AA21" s="9">
        <v>53.88</v>
      </c>
      <c r="AB21" s="16">
        <v>61</v>
      </c>
      <c r="AC21" s="56">
        <f t="shared" si="29"/>
        <v>0.67</v>
      </c>
      <c r="AD21" s="55">
        <f t="shared" si="13"/>
        <v>9.7365247573333331</v>
      </c>
      <c r="AE21" s="56">
        <f t="shared" ref="AE21:AG21" si="69">IFERROR(ROUND($AC21/Q21*100,2),0)</f>
        <v>29.25</v>
      </c>
      <c r="AF21" s="56">
        <f t="shared" si="69"/>
        <v>19.82</v>
      </c>
      <c r="AG21" s="14">
        <f t="shared" si="69"/>
        <v>17.27</v>
      </c>
    </row>
    <row r="22" spans="1:33" ht="18" customHeight="1">
      <c r="A22" s="22">
        <v>45932</v>
      </c>
      <c r="B22" s="7">
        <v>16</v>
      </c>
      <c r="C22" s="49">
        <v>0.27083333333333326</v>
      </c>
      <c r="D22" s="215">
        <f t="shared" si="9"/>
        <v>4.1611111111111105</v>
      </c>
      <c r="E22" s="16">
        <v>17.334862385321102</v>
      </c>
      <c r="F22" s="9">
        <v>10.1</v>
      </c>
      <c r="G22" s="9">
        <v>14.9</v>
      </c>
      <c r="H22" s="9">
        <v>17.100000000000001</v>
      </c>
      <c r="I22" s="50">
        <v>108.83333333333333</v>
      </c>
      <c r="J22" s="51">
        <f t="shared" si="33"/>
        <v>5.8434626921508661</v>
      </c>
      <c r="K22" s="51">
        <f t="shared" si="34"/>
        <v>8.6205538725790039</v>
      </c>
      <c r="L22" s="51">
        <f t="shared" si="35"/>
        <v>9.8933873302752318</v>
      </c>
      <c r="M22" s="20">
        <v>9.4954128440366965</v>
      </c>
      <c r="N22" s="18">
        <v>8.622782874617732E-4</v>
      </c>
      <c r="O22" s="50">
        <v>108.83333333333333</v>
      </c>
      <c r="P22" s="52">
        <f t="shared" si="36"/>
        <v>2.732686465925986E-4</v>
      </c>
      <c r="Q22" s="214">
        <f t="shared" ref="Q22:S22" si="70">IFERROR(J22-$P22,0)</f>
        <v>5.8431894235042732</v>
      </c>
      <c r="R22" s="214">
        <f t="shared" si="70"/>
        <v>8.6202806039324109</v>
      </c>
      <c r="S22" s="214">
        <f t="shared" si="70"/>
        <v>9.8931140616286388</v>
      </c>
      <c r="T22" s="53">
        <f t="shared" ref="T22:V22" si="71">Q22+T21</f>
        <v>76.279721402738602</v>
      </c>
      <c r="U22" s="53">
        <f t="shared" si="71"/>
        <v>112.53370753158967</v>
      </c>
      <c r="V22" s="53">
        <f t="shared" si="71"/>
        <v>129.1501178406464</v>
      </c>
      <c r="W22" s="13">
        <f t="shared" si="39"/>
        <v>100</v>
      </c>
      <c r="X22" s="13">
        <f t="shared" ref="X22:Y22" si="72">IFERROR(ROUND(R22/K22*100,2),0)</f>
        <v>100</v>
      </c>
      <c r="Y22" s="13">
        <f t="shared" si="72"/>
        <v>100</v>
      </c>
      <c r="Z22" s="20">
        <v>0.46010928961748715</v>
      </c>
      <c r="AA22" s="9">
        <v>53.879999999999875</v>
      </c>
      <c r="AB22" s="54">
        <v>61</v>
      </c>
      <c r="AC22" s="56">
        <f t="shared" si="29"/>
        <v>0.46</v>
      </c>
      <c r="AD22" s="55">
        <f t="shared" si="13"/>
        <v>10.196524757333334</v>
      </c>
      <c r="AE22" s="56">
        <f t="shared" ref="AE22:AG22" si="73">IFERROR(ROUND($AC22/Q22*100,2),0)</f>
        <v>7.87</v>
      </c>
      <c r="AF22" s="56">
        <f t="shared" si="73"/>
        <v>5.34</v>
      </c>
      <c r="AG22" s="14">
        <f t="shared" si="73"/>
        <v>4.6500000000000004</v>
      </c>
    </row>
    <row r="23" spans="1:33" ht="18" customHeight="1">
      <c r="A23" s="22">
        <v>45936</v>
      </c>
      <c r="B23" s="7">
        <v>17</v>
      </c>
      <c r="C23" s="49">
        <v>0.18472222222222223</v>
      </c>
      <c r="D23" s="215">
        <f t="shared" si="9"/>
        <v>4.3458333333333332</v>
      </c>
      <c r="E23" s="16" t="s">
        <v>18</v>
      </c>
      <c r="F23" s="9">
        <v>10.1</v>
      </c>
      <c r="G23" s="9">
        <v>14.9</v>
      </c>
      <c r="H23" s="9">
        <v>17.100000000000001</v>
      </c>
      <c r="I23" s="50" t="s">
        <v>18</v>
      </c>
      <c r="J23" s="51" t="s">
        <v>18</v>
      </c>
      <c r="K23" s="51" t="s">
        <v>18</v>
      </c>
      <c r="L23" s="51" t="s">
        <v>18</v>
      </c>
      <c r="M23" s="20" t="s">
        <v>18</v>
      </c>
      <c r="N23" s="18" t="s">
        <v>18</v>
      </c>
      <c r="O23" s="50" t="s">
        <v>18</v>
      </c>
      <c r="P23" s="52" t="s">
        <v>18</v>
      </c>
      <c r="Q23" s="214">
        <f t="shared" ref="Q23:S23" si="74">IFERROR(J23-$P23,0)</f>
        <v>0</v>
      </c>
      <c r="R23" s="214">
        <f t="shared" si="74"/>
        <v>0</v>
      </c>
      <c r="S23" s="214">
        <f t="shared" si="74"/>
        <v>0</v>
      </c>
      <c r="T23" s="53">
        <f t="shared" ref="T23:V23" si="75">Q23+T22</f>
        <v>76.279721402738602</v>
      </c>
      <c r="U23" s="53">
        <f t="shared" si="75"/>
        <v>112.53370753158967</v>
      </c>
      <c r="V23" s="53">
        <f t="shared" si="75"/>
        <v>129.1501178406464</v>
      </c>
      <c r="W23" s="13"/>
      <c r="X23" s="140"/>
      <c r="Y23" s="13"/>
      <c r="Z23" s="20">
        <v>0.36491935483870847</v>
      </c>
      <c r="AA23" s="9">
        <v>53.88</v>
      </c>
      <c r="AB23" s="57">
        <v>62</v>
      </c>
      <c r="AC23" s="56">
        <f t="shared" si="29"/>
        <v>0.37</v>
      </c>
      <c r="AD23" s="55">
        <f t="shared" si="13"/>
        <v>10.566524757333333</v>
      </c>
      <c r="AE23" s="56">
        <f t="shared" ref="AE23:AG23" si="76">IFERROR(ROUND($AC23/Q23*100,2),0)</f>
        <v>0</v>
      </c>
      <c r="AF23" s="56">
        <f t="shared" si="76"/>
        <v>0</v>
      </c>
      <c r="AG23" s="14">
        <f t="shared" si="76"/>
        <v>0</v>
      </c>
    </row>
    <row r="24" spans="1:33" ht="18" customHeight="1">
      <c r="A24" s="22">
        <v>45939</v>
      </c>
      <c r="B24" s="7">
        <v>18</v>
      </c>
      <c r="C24" s="49">
        <v>0.24166666666666664</v>
      </c>
      <c r="D24" s="215">
        <f t="shared" si="9"/>
        <v>4.5874999999999995</v>
      </c>
      <c r="E24" s="16">
        <v>16.920425531914926</v>
      </c>
      <c r="F24" s="9">
        <v>10.1</v>
      </c>
      <c r="G24" s="9">
        <v>14.9</v>
      </c>
      <c r="H24" s="9">
        <v>17.100000000000001</v>
      </c>
      <c r="I24" s="50">
        <v>78.166666666666671</v>
      </c>
      <c r="J24" s="51">
        <f t="shared" ref="J24:J36" si="77">E24*F24*1.84*(I24/60)*0.01</f>
        <v>4.0965741447754214</v>
      </c>
      <c r="K24" s="51">
        <f t="shared" ref="K24:K36" si="78">E24*G24*1.84*(I24/60)*0.01</f>
        <v>6.0434608670449306</v>
      </c>
      <c r="L24" s="51">
        <f t="shared" ref="L24:L36" si="79">E24*H24*1.84*(I24/60)*0.01</f>
        <v>6.9357839480851213</v>
      </c>
      <c r="M24" s="11">
        <v>14.800000000000118</v>
      </c>
      <c r="N24" s="21">
        <v>2.0828723404255332E-3</v>
      </c>
      <c r="O24" s="50">
        <v>78.166666666666671</v>
      </c>
      <c r="P24" s="52">
        <f t="shared" ref="P24:P36" si="80">M24*N24*1.84*(O24/60)*0.01</f>
        <v>7.3894571167849345E-4</v>
      </c>
      <c r="Q24" s="214">
        <f t="shared" ref="Q24:S24" si="81">IFERROR(J24-$P24,0)</f>
        <v>4.0958351990637425</v>
      </c>
      <c r="R24" s="214">
        <f t="shared" si="81"/>
        <v>6.0427219213332517</v>
      </c>
      <c r="S24" s="214">
        <f t="shared" si="81"/>
        <v>6.9350450023734425</v>
      </c>
      <c r="T24" s="53">
        <f t="shared" ref="T24:V24" si="82">Q24+T23</f>
        <v>80.375556601802344</v>
      </c>
      <c r="U24" s="53">
        <f t="shared" si="82"/>
        <v>118.57642945292292</v>
      </c>
      <c r="V24" s="53">
        <f t="shared" si="82"/>
        <v>136.08516284301984</v>
      </c>
      <c r="W24" s="13">
        <f t="shared" si="39"/>
        <v>99.98</v>
      </c>
      <c r="X24" s="13">
        <f t="shared" ref="X24:Y24" si="83">IFERROR(ROUND(R24/K24*100,2),0)</f>
        <v>99.99</v>
      </c>
      <c r="Y24" s="13">
        <f t="shared" si="83"/>
        <v>99.99</v>
      </c>
      <c r="Z24" s="20">
        <v>0.5818579234972675</v>
      </c>
      <c r="AA24" s="9">
        <v>53.879999999999875</v>
      </c>
      <c r="AB24" s="54">
        <v>61</v>
      </c>
      <c r="AC24" s="56">
        <f t="shared" si="29"/>
        <v>0.59</v>
      </c>
      <c r="AD24" s="55">
        <f t="shared" si="13"/>
        <v>11.156524757333333</v>
      </c>
      <c r="AE24" s="56">
        <f t="shared" ref="AE24:AG24" si="84">IFERROR(ROUND($AC24/Q24*100,2),0)</f>
        <v>14.4</v>
      </c>
      <c r="AF24" s="56">
        <f t="shared" si="84"/>
        <v>9.76</v>
      </c>
      <c r="AG24" s="14">
        <f t="shared" si="84"/>
        <v>8.51</v>
      </c>
    </row>
    <row r="25" spans="1:33" ht="18" customHeight="1">
      <c r="A25" s="22">
        <v>45940</v>
      </c>
      <c r="B25" s="7">
        <v>19</v>
      </c>
      <c r="C25" s="49">
        <v>0.22291666666666671</v>
      </c>
      <c r="D25" s="215">
        <f t="shared" si="9"/>
        <v>4.8104166666666659</v>
      </c>
      <c r="E25" s="16">
        <v>18.121246458923547</v>
      </c>
      <c r="F25" s="9">
        <v>10.1</v>
      </c>
      <c r="G25" s="9">
        <v>14.9</v>
      </c>
      <c r="H25" s="9">
        <v>17.100000000000001</v>
      </c>
      <c r="I25" s="50">
        <v>58.666666666666664</v>
      </c>
      <c r="J25" s="51">
        <f t="shared" si="77"/>
        <v>3.2928157209946551</v>
      </c>
      <c r="K25" s="51">
        <f t="shared" si="78"/>
        <v>4.8577182418634024</v>
      </c>
      <c r="L25" s="51">
        <f t="shared" si="79"/>
        <v>5.5749652305949118</v>
      </c>
      <c r="M25" s="20">
        <v>10.065155807365439</v>
      </c>
      <c r="N25" s="21">
        <v>3.6769688385269142E-3</v>
      </c>
      <c r="O25" s="50">
        <v>58.666666666666664</v>
      </c>
      <c r="P25" s="52">
        <f t="shared" si="80"/>
        <v>6.6583778541696244E-4</v>
      </c>
      <c r="Q25" s="214">
        <f t="shared" ref="Q25:S25" si="85">IFERROR(J25-$P25,0)</f>
        <v>3.292149883209238</v>
      </c>
      <c r="R25" s="214">
        <f t="shared" si="85"/>
        <v>4.8570524040779857</v>
      </c>
      <c r="S25" s="214">
        <f t="shared" si="85"/>
        <v>5.574299392809495</v>
      </c>
      <c r="T25" s="53">
        <f t="shared" ref="T25:V25" si="86">Q25+T24</f>
        <v>83.667706485011578</v>
      </c>
      <c r="U25" s="53">
        <f t="shared" si="86"/>
        <v>123.43348185700091</v>
      </c>
      <c r="V25" s="53">
        <f t="shared" si="86"/>
        <v>141.65946223582935</v>
      </c>
      <c r="W25" s="13">
        <f t="shared" si="39"/>
        <v>99.98</v>
      </c>
      <c r="X25" s="13">
        <f t="shared" ref="X25:Y25" si="87">IFERROR(ROUND(R25/K25*100,2),0)</f>
        <v>99.99</v>
      </c>
      <c r="Y25" s="13">
        <f t="shared" si="87"/>
        <v>99.99</v>
      </c>
      <c r="Z25" s="20">
        <v>0.6255191256830589</v>
      </c>
      <c r="AA25" s="9">
        <v>53.879999999999875</v>
      </c>
      <c r="AB25" s="54">
        <v>61</v>
      </c>
      <c r="AC25" s="56">
        <f t="shared" si="29"/>
        <v>0.63</v>
      </c>
      <c r="AD25" s="55">
        <f t="shared" si="13"/>
        <v>11.786524757333334</v>
      </c>
      <c r="AE25" s="56">
        <f t="shared" ref="AE25:AG25" si="88">IFERROR(ROUND($AC25/Q25*100,2),0)</f>
        <v>19.14</v>
      </c>
      <c r="AF25" s="56">
        <f t="shared" si="88"/>
        <v>12.97</v>
      </c>
      <c r="AG25" s="14">
        <f t="shared" si="88"/>
        <v>11.3</v>
      </c>
    </row>
    <row r="26" spans="1:33" ht="18" customHeight="1">
      <c r="A26" s="22">
        <v>45944</v>
      </c>
      <c r="B26" s="7">
        <v>20</v>
      </c>
      <c r="C26" s="49">
        <v>0.21666666666666667</v>
      </c>
      <c r="D26" s="215">
        <f t="shared" si="9"/>
        <v>5.0270833333333327</v>
      </c>
      <c r="E26" s="16">
        <v>19.649999999999999</v>
      </c>
      <c r="F26" s="9">
        <v>10.1</v>
      </c>
      <c r="G26" s="9">
        <v>14.9</v>
      </c>
      <c r="H26" s="9">
        <v>17.100000000000001</v>
      </c>
      <c r="I26" s="50">
        <v>110</v>
      </c>
      <c r="J26" s="51">
        <f t="shared" si="77"/>
        <v>6.6948859999999994</v>
      </c>
      <c r="K26" s="51">
        <f t="shared" si="78"/>
        <v>9.8766139999999982</v>
      </c>
      <c r="L26" s="51">
        <f t="shared" si="79"/>
        <v>11.334906000000002</v>
      </c>
      <c r="M26" s="20">
        <v>14.8</v>
      </c>
      <c r="N26" s="21">
        <v>1.4E-3</v>
      </c>
      <c r="O26" s="50">
        <v>110</v>
      </c>
      <c r="P26" s="52">
        <f t="shared" si="80"/>
        <v>6.9895466666666686E-4</v>
      </c>
      <c r="Q26" s="214">
        <f t="shared" ref="Q26:S26" si="89">IFERROR(J26-$P26,0)</f>
        <v>6.694187045333333</v>
      </c>
      <c r="R26" s="214">
        <f t="shared" si="89"/>
        <v>9.8759150453333309</v>
      </c>
      <c r="S26" s="214">
        <f t="shared" si="89"/>
        <v>11.334207045333335</v>
      </c>
      <c r="T26" s="53">
        <f t="shared" ref="T26:V26" si="90">Q26+T25</f>
        <v>90.361893530344915</v>
      </c>
      <c r="U26" s="53">
        <f t="shared" si="90"/>
        <v>133.30939690233424</v>
      </c>
      <c r="V26" s="53">
        <f t="shared" si="90"/>
        <v>152.99366928116268</v>
      </c>
      <c r="W26" s="13">
        <f t="shared" si="39"/>
        <v>99.99</v>
      </c>
      <c r="X26" s="13">
        <f t="shared" ref="X26:Y26" si="91">IFERROR(ROUND(R26/K26*100,2),0)</f>
        <v>99.99</v>
      </c>
      <c r="Y26" s="13">
        <f t="shared" si="91"/>
        <v>99.99</v>
      </c>
      <c r="Z26" s="20">
        <v>0.43521857923496832</v>
      </c>
      <c r="AA26" s="9">
        <v>53.879999999999875</v>
      </c>
      <c r="AB26" s="54">
        <v>61</v>
      </c>
      <c r="AC26" s="56">
        <f t="shared" si="29"/>
        <v>0.44</v>
      </c>
      <c r="AD26" s="55">
        <f t="shared" si="13"/>
        <v>12.226524757333333</v>
      </c>
      <c r="AE26" s="56">
        <f t="shared" ref="AE26:AG26" si="92">IFERROR(ROUND($AC26/Q26*100,2),0)</f>
        <v>6.57</v>
      </c>
      <c r="AF26" s="56">
        <f t="shared" si="92"/>
        <v>4.46</v>
      </c>
      <c r="AG26" s="14">
        <f t="shared" si="92"/>
        <v>3.88</v>
      </c>
    </row>
    <row r="27" spans="1:33" ht="18" customHeight="1">
      <c r="A27" s="22">
        <v>45945</v>
      </c>
      <c r="B27" s="7">
        <v>21</v>
      </c>
      <c r="C27" s="49">
        <v>0.17777777777777781</v>
      </c>
      <c r="D27" s="215">
        <f t="shared" si="9"/>
        <v>5.2048611111111107</v>
      </c>
      <c r="E27" s="16">
        <v>18.71</v>
      </c>
      <c r="F27" s="9">
        <v>10.1</v>
      </c>
      <c r="G27" s="9">
        <v>14.9</v>
      </c>
      <c r="H27" s="9">
        <v>17.100000000000001</v>
      </c>
      <c r="I27" s="50">
        <v>48</v>
      </c>
      <c r="J27" s="51">
        <f t="shared" si="77"/>
        <v>2.7816531200000005</v>
      </c>
      <c r="K27" s="51">
        <f t="shared" si="78"/>
        <v>4.1036268800000002</v>
      </c>
      <c r="L27" s="51">
        <f t="shared" si="79"/>
        <v>4.7095315200000005</v>
      </c>
      <c r="M27" s="20">
        <v>14.8</v>
      </c>
      <c r="N27" s="21">
        <v>0.01</v>
      </c>
      <c r="O27" s="50">
        <v>48</v>
      </c>
      <c r="P27" s="52">
        <f t="shared" si="80"/>
        <v>2.1785600000000004E-3</v>
      </c>
      <c r="Q27" s="214">
        <f t="shared" ref="Q27:S27" si="93">IFERROR(J27-$P27,0)</f>
        <v>2.7794745600000006</v>
      </c>
      <c r="R27" s="214">
        <f t="shared" si="93"/>
        <v>4.1014483200000003</v>
      </c>
      <c r="S27" s="214">
        <f t="shared" si="93"/>
        <v>4.7073529600000006</v>
      </c>
      <c r="T27" s="53">
        <f t="shared" ref="T27:V27" si="94">Q27+T26</f>
        <v>93.141368090344912</v>
      </c>
      <c r="U27" s="53">
        <f t="shared" si="94"/>
        <v>137.41084522233425</v>
      </c>
      <c r="V27" s="53">
        <f t="shared" si="94"/>
        <v>157.70102224116269</v>
      </c>
      <c r="W27" s="13">
        <f t="shared" si="39"/>
        <v>99.92</v>
      </c>
      <c r="X27" s="13">
        <f t="shared" ref="X27:Y27" si="95">IFERROR(ROUND(R27/K27*100,2),0)</f>
        <v>99.95</v>
      </c>
      <c r="Y27" s="13">
        <f t="shared" si="95"/>
        <v>99.95</v>
      </c>
      <c r="Z27" s="20">
        <v>0.44204918032786356</v>
      </c>
      <c r="AA27" s="9">
        <v>53.879999999999875</v>
      </c>
      <c r="AB27" s="54">
        <v>61</v>
      </c>
      <c r="AC27" s="56">
        <f t="shared" si="29"/>
        <v>0.45</v>
      </c>
      <c r="AD27" s="55">
        <f t="shared" si="13"/>
        <v>12.676524757333333</v>
      </c>
      <c r="AE27" s="56">
        <f t="shared" ref="AE27:AG27" si="96">IFERROR(ROUND($AC27/Q27*100,2),0)</f>
        <v>16.190000000000001</v>
      </c>
      <c r="AF27" s="56">
        <f t="shared" si="96"/>
        <v>10.97</v>
      </c>
      <c r="AG27" s="14">
        <f t="shared" si="96"/>
        <v>9.56</v>
      </c>
    </row>
    <row r="28" spans="1:33" ht="18" customHeight="1">
      <c r="A28" s="22">
        <v>45946</v>
      </c>
      <c r="B28" s="7">
        <v>22</v>
      </c>
      <c r="C28" s="49">
        <v>0.2048611111111111</v>
      </c>
      <c r="D28" s="215">
        <f t="shared" si="9"/>
        <v>5.4097222222222214</v>
      </c>
      <c r="E28" s="9">
        <v>18.299999999999951</v>
      </c>
      <c r="F28" s="9">
        <v>10.1</v>
      </c>
      <c r="G28" s="9">
        <v>14.9</v>
      </c>
      <c r="H28" s="9">
        <v>17.100000000000001</v>
      </c>
      <c r="I28" s="50">
        <v>40.166666666666664</v>
      </c>
      <c r="J28" s="51">
        <f t="shared" si="77"/>
        <v>2.2766948666666607</v>
      </c>
      <c r="K28" s="51">
        <f t="shared" si="78"/>
        <v>3.3586884666666577</v>
      </c>
      <c r="L28" s="51">
        <f t="shared" si="79"/>
        <v>3.8546021999999898</v>
      </c>
      <c r="M28" s="20">
        <v>11.938016528925619</v>
      </c>
      <c r="N28" s="21">
        <v>1.4825206611570219E-3</v>
      </c>
      <c r="O28" s="50">
        <v>40.166666666666664</v>
      </c>
      <c r="P28" s="52">
        <f t="shared" si="80"/>
        <v>2.1800441817840268E-4</v>
      </c>
      <c r="Q28" s="214">
        <f t="shared" ref="Q28:S28" si="97">IFERROR(J28-$P28,0)</f>
        <v>2.2764768622484821</v>
      </c>
      <c r="R28" s="214">
        <f t="shared" si="97"/>
        <v>3.3584704622484791</v>
      </c>
      <c r="S28" s="214">
        <f t="shared" si="97"/>
        <v>3.8543841955818112</v>
      </c>
      <c r="T28" s="53">
        <f t="shared" ref="T28:V28" si="98">Q28+T27</f>
        <v>95.417844952593398</v>
      </c>
      <c r="U28" s="53">
        <f t="shared" si="98"/>
        <v>140.76931568458272</v>
      </c>
      <c r="V28" s="53">
        <f t="shared" si="98"/>
        <v>161.55540643674451</v>
      </c>
      <c r="W28" s="13">
        <f t="shared" si="39"/>
        <v>99.99</v>
      </c>
      <c r="X28" s="13">
        <f t="shared" ref="X28:Y28" si="99">IFERROR(ROUND(R28/K28*100,2),0)</f>
        <v>99.99</v>
      </c>
      <c r="Y28" s="13">
        <f t="shared" si="99"/>
        <v>99.99</v>
      </c>
      <c r="Z28" s="20">
        <v>0.5385519125683047</v>
      </c>
      <c r="AA28" s="9">
        <v>53.879999999999875</v>
      </c>
      <c r="AB28" s="54">
        <v>61</v>
      </c>
      <c r="AC28" s="56">
        <f t="shared" si="29"/>
        <v>0.54</v>
      </c>
      <c r="AD28" s="55">
        <f t="shared" si="13"/>
        <v>13.216524757333332</v>
      </c>
      <c r="AE28" s="56">
        <f t="shared" ref="AE28:AG28" si="100">IFERROR(ROUND($AC28/Q28*100,2),0)</f>
        <v>23.72</v>
      </c>
      <c r="AF28" s="56">
        <f t="shared" si="100"/>
        <v>16.079999999999998</v>
      </c>
      <c r="AG28" s="14">
        <f t="shared" si="100"/>
        <v>14.01</v>
      </c>
    </row>
    <row r="29" spans="1:33" ht="18" customHeight="1">
      <c r="A29" s="22">
        <v>45947</v>
      </c>
      <c r="B29" s="7">
        <v>23</v>
      </c>
      <c r="C29" s="49">
        <v>0.21597222222222223</v>
      </c>
      <c r="D29" s="215">
        <f t="shared" si="9"/>
        <v>5.6256944444444432</v>
      </c>
      <c r="E29" s="16">
        <v>25.425342465753445</v>
      </c>
      <c r="F29" s="9">
        <v>10.1</v>
      </c>
      <c r="G29" s="9">
        <v>14.9</v>
      </c>
      <c r="H29" s="9">
        <v>17.100000000000001</v>
      </c>
      <c r="I29" s="50">
        <v>48.5</v>
      </c>
      <c r="J29" s="51">
        <f t="shared" si="77"/>
        <v>3.8194118954337934</v>
      </c>
      <c r="K29" s="51">
        <f t="shared" si="78"/>
        <v>5.6345779447488633</v>
      </c>
      <c r="L29" s="51">
        <f t="shared" si="79"/>
        <v>6.4665290506849376</v>
      </c>
      <c r="M29" s="11">
        <v>10.099999999999946</v>
      </c>
      <c r="N29" s="21">
        <v>1.9673287671232945E-3</v>
      </c>
      <c r="O29" s="50">
        <v>48.5</v>
      </c>
      <c r="P29" s="52">
        <f t="shared" si="80"/>
        <v>2.9553343894977118E-4</v>
      </c>
      <c r="Q29" s="214">
        <f t="shared" ref="Q29:S29" si="101">IFERROR(J29-$P29,0)</f>
        <v>3.8191163619948436</v>
      </c>
      <c r="R29" s="214">
        <f t="shared" si="101"/>
        <v>5.6342824113099139</v>
      </c>
      <c r="S29" s="214">
        <f t="shared" si="101"/>
        <v>6.4662335172459882</v>
      </c>
      <c r="T29" s="53">
        <f t="shared" ref="T29:V29" si="102">Q29+T28</f>
        <v>99.236961314588243</v>
      </c>
      <c r="U29" s="53">
        <f t="shared" si="102"/>
        <v>146.40359809589265</v>
      </c>
      <c r="V29" s="53">
        <f t="shared" si="102"/>
        <v>168.0216399539905</v>
      </c>
      <c r="W29" s="13">
        <f t="shared" si="39"/>
        <v>99.99</v>
      </c>
      <c r="X29" s="13">
        <f t="shared" ref="X29:Y29" si="103">IFERROR(ROUND(R29/K29*100,2),0)</f>
        <v>99.99</v>
      </c>
      <c r="Y29" s="13">
        <f t="shared" si="103"/>
        <v>100</v>
      </c>
      <c r="Z29" s="20">
        <v>0.51671717171717357</v>
      </c>
      <c r="AA29" s="9">
        <v>53.87999999999996</v>
      </c>
      <c r="AB29" s="54">
        <v>66</v>
      </c>
      <c r="AC29" s="56">
        <f t="shared" si="29"/>
        <v>0.56000000000000005</v>
      </c>
      <c r="AD29" s="55">
        <f t="shared" si="13"/>
        <v>13.776524757333332</v>
      </c>
      <c r="AE29" s="56">
        <f t="shared" ref="AE29:AG29" si="104">IFERROR(ROUND($AC29/Q29*100,2),0)</f>
        <v>14.66</v>
      </c>
      <c r="AF29" s="56">
        <f t="shared" si="104"/>
        <v>9.94</v>
      </c>
      <c r="AG29" s="14">
        <f t="shared" si="104"/>
        <v>8.66</v>
      </c>
    </row>
    <row r="30" spans="1:33" ht="18" customHeight="1">
      <c r="A30" s="22">
        <v>45950</v>
      </c>
      <c r="B30" s="7">
        <v>24</v>
      </c>
      <c r="C30" s="49">
        <v>0.2277777777777778</v>
      </c>
      <c r="D30" s="215">
        <f t="shared" si="9"/>
        <v>5.8534722222222211</v>
      </c>
      <c r="E30" s="16">
        <v>12.457407407407441</v>
      </c>
      <c r="F30" s="9">
        <v>10.1</v>
      </c>
      <c r="G30" s="9">
        <v>14.9</v>
      </c>
      <c r="H30" s="9">
        <v>17.100000000000001</v>
      </c>
      <c r="I30" s="50">
        <v>53.833333333333336</v>
      </c>
      <c r="J30" s="51">
        <f t="shared" si="77"/>
        <v>2.0771453427983593</v>
      </c>
      <c r="K30" s="51">
        <f t="shared" si="78"/>
        <v>3.0643035255144118</v>
      </c>
      <c r="L30" s="51">
        <f t="shared" si="79"/>
        <v>3.5167510259259358</v>
      </c>
      <c r="M30" s="11">
        <v>14.80000000000009</v>
      </c>
      <c r="N30" s="21">
        <v>6.3147222222222337E-3</v>
      </c>
      <c r="O30" s="50">
        <v>53.833333333333336</v>
      </c>
      <c r="P30" s="52">
        <f t="shared" si="80"/>
        <v>1.5428859034568023E-3</v>
      </c>
      <c r="Q30" s="214">
        <f t="shared" ref="Q30:S30" si="105">IFERROR(J30-$P30,0)</f>
        <v>2.0756024568949023</v>
      </c>
      <c r="R30" s="214">
        <f t="shared" si="105"/>
        <v>3.0627606396109548</v>
      </c>
      <c r="S30" s="214">
        <f t="shared" si="105"/>
        <v>3.5152081400224788</v>
      </c>
      <c r="T30" s="53">
        <f t="shared" ref="T30:V30" si="106">Q30+T29</f>
        <v>101.31256377148314</v>
      </c>
      <c r="U30" s="53">
        <f t="shared" si="106"/>
        <v>149.4663587355036</v>
      </c>
      <c r="V30" s="53">
        <f t="shared" si="106"/>
        <v>171.53684809401298</v>
      </c>
      <c r="W30" s="13">
        <f t="shared" si="39"/>
        <v>99.93</v>
      </c>
      <c r="X30" s="13">
        <f t="shared" ref="X30:Y30" si="107">IFERROR(ROUND(R30/K30*100,2),0)</f>
        <v>99.95</v>
      </c>
      <c r="Y30" s="13">
        <f t="shared" si="107"/>
        <v>99.96</v>
      </c>
      <c r="Z30" s="20">
        <v>0.22681818181818364</v>
      </c>
      <c r="AA30" s="9">
        <v>53.87999999999996</v>
      </c>
      <c r="AB30" s="54">
        <v>66</v>
      </c>
      <c r="AC30" s="56">
        <f t="shared" si="29"/>
        <v>0.25</v>
      </c>
      <c r="AD30" s="55">
        <f t="shared" si="13"/>
        <v>14.026524757333332</v>
      </c>
      <c r="AE30" s="56">
        <f t="shared" ref="AE30:AG30" si="108">IFERROR(ROUND($AC30/Q30*100,2),0)</f>
        <v>12.04</v>
      </c>
      <c r="AF30" s="56">
        <f t="shared" si="108"/>
        <v>8.16</v>
      </c>
      <c r="AG30" s="14">
        <f t="shared" si="108"/>
        <v>7.11</v>
      </c>
    </row>
    <row r="31" spans="1:33" ht="18" customHeight="1">
      <c r="A31" s="22">
        <v>45951</v>
      </c>
      <c r="B31" s="7">
        <v>25</v>
      </c>
      <c r="C31" s="49">
        <v>0.21250000000000002</v>
      </c>
      <c r="D31" s="215">
        <f t="shared" si="9"/>
        <v>6.0659722222222214</v>
      </c>
      <c r="E31" s="16">
        <v>18.289099526066352</v>
      </c>
      <c r="F31" s="9">
        <v>10.1</v>
      </c>
      <c r="G31" s="9">
        <v>14.9</v>
      </c>
      <c r="H31" s="9">
        <v>17.100000000000001</v>
      </c>
      <c r="I31" s="50">
        <v>35</v>
      </c>
      <c r="J31" s="51">
        <f t="shared" si="77"/>
        <v>1.9826603159557663</v>
      </c>
      <c r="K31" s="51">
        <f t="shared" si="78"/>
        <v>2.9249147235387047</v>
      </c>
      <c r="L31" s="51">
        <f t="shared" si="79"/>
        <v>3.3567813270142186</v>
      </c>
      <c r="M31" s="11">
        <v>14.900000000000057</v>
      </c>
      <c r="N31" s="21">
        <v>1.0243127962085311E-3</v>
      </c>
      <c r="O31" s="50">
        <v>35</v>
      </c>
      <c r="P31" s="52">
        <f t="shared" si="80"/>
        <v>1.6381493112164366E-4</v>
      </c>
      <c r="Q31" s="214">
        <f t="shared" ref="Q31:S31" si="109">IFERROR(J31-$P31,0)</f>
        <v>1.9824965010246447</v>
      </c>
      <c r="R31" s="214">
        <f t="shared" si="109"/>
        <v>2.9247509086075829</v>
      </c>
      <c r="S31" s="214">
        <f t="shared" si="109"/>
        <v>3.3566175120830968</v>
      </c>
      <c r="T31" s="53">
        <f t="shared" ref="T31:V31" si="110">Q31+T30</f>
        <v>103.29506027250778</v>
      </c>
      <c r="U31" s="53">
        <f t="shared" si="110"/>
        <v>152.3911096441112</v>
      </c>
      <c r="V31" s="53">
        <f t="shared" si="110"/>
        <v>174.89346560609607</v>
      </c>
      <c r="W31" s="13">
        <f t="shared" si="39"/>
        <v>99.99</v>
      </c>
      <c r="X31" s="13">
        <f t="shared" ref="X31:Y31" si="111">IFERROR(ROUND(R31/K31*100,2),0)</f>
        <v>99.99</v>
      </c>
      <c r="Y31" s="13">
        <f t="shared" si="111"/>
        <v>100</v>
      </c>
      <c r="Z31" s="20">
        <v>0.20186567164179259</v>
      </c>
      <c r="AA31" s="9">
        <v>53.879999999999981</v>
      </c>
      <c r="AB31" s="54">
        <v>67</v>
      </c>
      <c r="AC31" s="56">
        <f t="shared" si="29"/>
        <v>0.22</v>
      </c>
      <c r="AD31" s="55">
        <f t="shared" si="13"/>
        <v>14.246524757333333</v>
      </c>
      <c r="AE31" s="56">
        <f t="shared" ref="AE31:AG31" si="112">IFERROR(ROUND($AC31/Q31*100,2),0)</f>
        <v>11.1</v>
      </c>
      <c r="AF31" s="56">
        <f t="shared" si="112"/>
        <v>7.52</v>
      </c>
      <c r="AG31" s="14">
        <f t="shared" si="112"/>
        <v>6.55</v>
      </c>
    </row>
    <row r="32" spans="1:33" ht="18" customHeight="1">
      <c r="A32" s="22">
        <v>45954</v>
      </c>
      <c r="B32" s="7">
        <v>26</v>
      </c>
      <c r="C32" s="49">
        <v>0.23958333333333337</v>
      </c>
      <c r="D32" s="215">
        <f t="shared" si="9"/>
        <v>6.3055555555555545</v>
      </c>
      <c r="E32" s="16">
        <v>19.09</v>
      </c>
      <c r="F32" s="9">
        <v>10.1</v>
      </c>
      <c r="G32" s="9">
        <v>14.9</v>
      </c>
      <c r="H32" s="9">
        <v>17.100000000000001</v>
      </c>
      <c r="I32" s="50">
        <v>36.17</v>
      </c>
      <c r="J32" s="51">
        <f t="shared" si="77"/>
        <v>2.138663135866667</v>
      </c>
      <c r="K32" s="51">
        <f t="shared" si="78"/>
        <v>3.1550574974666676</v>
      </c>
      <c r="L32" s="51">
        <f t="shared" si="79"/>
        <v>3.6209049132000004</v>
      </c>
      <c r="M32" s="11">
        <v>14.93</v>
      </c>
      <c r="N32" s="21">
        <v>1.354E-3</v>
      </c>
      <c r="O32" s="50">
        <v>36.17</v>
      </c>
      <c r="P32" s="52">
        <f t="shared" si="80"/>
        <v>2.2422991560266665E-4</v>
      </c>
      <c r="Q32" s="214">
        <f t="shared" ref="Q32:S32" si="113">IFERROR(J32-$P32,0)</f>
        <v>2.1384389059510642</v>
      </c>
      <c r="R32" s="214">
        <f t="shared" si="113"/>
        <v>3.1548332675510649</v>
      </c>
      <c r="S32" s="214">
        <f t="shared" si="113"/>
        <v>3.6206806832843976</v>
      </c>
      <c r="T32" s="53">
        <f t="shared" ref="T32:V32" si="114">Q32+T31</f>
        <v>105.43349917845885</v>
      </c>
      <c r="U32" s="53">
        <f t="shared" si="114"/>
        <v>155.54594291166225</v>
      </c>
      <c r="V32" s="53">
        <f t="shared" si="114"/>
        <v>178.51414628938048</v>
      </c>
      <c r="W32" s="13">
        <f t="shared" si="39"/>
        <v>99.99</v>
      </c>
      <c r="X32" s="13">
        <f t="shared" ref="X32:Y32" si="115">IFERROR(ROUND(R32/K32*100,2),0)</f>
        <v>99.99</v>
      </c>
      <c r="Y32" s="13">
        <f t="shared" si="115"/>
        <v>99.99</v>
      </c>
      <c r="Z32" s="20">
        <v>0.2245081967213127</v>
      </c>
      <c r="AA32" s="9">
        <v>53.879999999999875</v>
      </c>
      <c r="AB32" s="54">
        <v>61</v>
      </c>
      <c r="AC32" s="56">
        <f t="shared" si="29"/>
        <v>0.23</v>
      </c>
      <c r="AD32" s="55">
        <f t="shared" si="13"/>
        <v>14.476524757333333</v>
      </c>
      <c r="AE32" s="56">
        <f t="shared" ref="AE32:AG32" si="116">IFERROR(ROUND($AC32/Q32*100,2),0)</f>
        <v>10.76</v>
      </c>
      <c r="AF32" s="56">
        <f t="shared" si="116"/>
        <v>7.29</v>
      </c>
      <c r="AG32" s="14">
        <f t="shared" si="116"/>
        <v>6.35</v>
      </c>
    </row>
    <row r="33" spans="1:35" ht="18" customHeight="1">
      <c r="A33" s="22">
        <v>45957</v>
      </c>
      <c r="B33" s="7">
        <v>27</v>
      </c>
      <c r="C33" s="49">
        <v>0.19930555555555551</v>
      </c>
      <c r="D33" s="215">
        <f t="shared" si="9"/>
        <v>6.5048611111111097</v>
      </c>
      <c r="E33" s="16">
        <v>24.774999999999995</v>
      </c>
      <c r="F33" s="9">
        <v>10.1</v>
      </c>
      <c r="G33" s="9">
        <v>14.9</v>
      </c>
      <c r="H33" s="9">
        <v>17.100000000000001</v>
      </c>
      <c r="I33" s="50">
        <v>27.833333333333332</v>
      </c>
      <c r="J33" s="51">
        <f t="shared" si="77"/>
        <v>2.135830727777777</v>
      </c>
      <c r="K33" s="51">
        <f t="shared" si="78"/>
        <v>3.1508789944444437</v>
      </c>
      <c r="L33" s="51">
        <f t="shared" si="79"/>
        <v>3.6161094499999997</v>
      </c>
      <c r="M33" s="11">
        <v>15.099999999999952</v>
      </c>
      <c r="N33" s="18">
        <v>7.9273809523809516E-4</v>
      </c>
      <c r="O33" s="50">
        <v>27.833333333333332</v>
      </c>
      <c r="P33" s="52">
        <f t="shared" si="80"/>
        <v>1.0217354679894144E-4</v>
      </c>
      <c r="Q33" s="214">
        <f t="shared" ref="Q33:S33" si="117">IFERROR(J33-$P33,0)</f>
        <v>2.1357285542309783</v>
      </c>
      <c r="R33" s="214">
        <f t="shared" si="117"/>
        <v>3.150776820897645</v>
      </c>
      <c r="S33" s="214">
        <f t="shared" si="117"/>
        <v>3.616007276453201</v>
      </c>
      <c r="T33" s="53">
        <f t="shared" ref="T33:V33" si="118">Q33+T32</f>
        <v>107.56922773268982</v>
      </c>
      <c r="U33" s="53">
        <f t="shared" si="118"/>
        <v>158.6967197325599</v>
      </c>
      <c r="V33" s="53">
        <f t="shared" si="118"/>
        <v>182.13015356583367</v>
      </c>
      <c r="W33" s="13">
        <f t="shared" si="39"/>
        <v>100</v>
      </c>
      <c r="X33" s="13">
        <f t="shared" ref="X33:Y33" si="119">IFERROR(ROUND(R33/K33*100,2),0)</f>
        <v>100</v>
      </c>
      <c r="Y33" s="13">
        <f t="shared" si="119"/>
        <v>100</v>
      </c>
      <c r="Z33" s="11">
        <v>0.20000000000000137</v>
      </c>
      <c r="AA33" s="9">
        <v>53.879999999999875</v>
      </c>
      <c r="AB33" s="54">
        <v>61</v>
      </c>
      <c r="AC33" s="56">
        <f t="shared" si="29"/>
        <v>0.2</v>
      </c>
      <c r="AD33" s="55">
        <f t="shared" si="13"/>
        <v>14.676524757333333</v>
      </c>
      <c r="AE33" s="56">
        <f t="shared" ref="AE33:AG33" si="120">IFERROR(ROUND($AC33/Q33*100,2),0)</f>
        <v>9.36</v>
      </c>
      <c r="AF33" s="56">
        <f t="shared" si="120"/>
        <v>6.35</v>
      </c>
      <c r="AG33" s="14">
        <f t="shared" si="120"/>
        <v>5.53</v>
      </c>
    </row>
    <row r="34" spans="1:35" ht="18" customHeight="1">
      <c r="A34" s="22">
        <v>45958</v>
      </c>
      <c r="B34" s="7">
        <v>28</v>
      </c>
      <c r="C34" s="49">
        <v>0.22083333333333338</v>
      </c>
      <c r="D34" s="215">
        <f t="shared" si="9"/>
        <v>6.7256944444444429</v>
      </c>
      <c r="E34" s="9">
        <v>24.949999999999964</v>
      </c>
      <c r="F34" s="9">
        <v>10.1</v>
      </c>
      <c r="G34" s="9">
        <v>14.9</v>
      </c>
      <c r="H34" s="9">
        <v>17.100000000000001</v>
      </c>
      <c r="I34" s="50">
        <v>27.833333333333332</v>
      </c>
      <c r="J34" s="51">
        <f t="shared" si="77"/>
        <v>2.1509173222222193</v>
      </c>
      <c r="K34" s="51">
        <f t="shared" si="78"/>
        <v>3.1731354555555509</v>
      </c>
      <c r="L34" s="51">
        <f t="shared" si="79"/>
        <v>3.6416520999999951</v>
      </c>
      <c r="M34" s="11">
        <v>15.099999999999952</v>
      </c>
      <c r="N34" s="9">
        <v>1.1010714285714283E-3</v>
      </c>
      <c r="O34" s="50">
        <v>27.833333333333332</v>
      </c>
      <c r="P34" s="52">
        <f t="shared" si="80"/>
        <v>1.4191367087301537E-4</v>
      </c>
      <c r="Q34" s="214">
        <f t="shared" ref="Q34:S34" si="121">IFERROR(J34-$P34,0)</f>
        <v>2.1507754085513464</v>
      </c>
      <c r="R34" s="214">
        <f t="shared" si="121"/>
        <v>3.172993541884678</v>
      </c>
      <c r="S34" s="214">
        <f t="shared" si="121"/>
        <v>3.6415101863291222</v>
      </c>
      <c r="T34" s="53">
        <f t="shared" ref="T34:V34" si="122">Q34+T33</f>
        <v>109.72000314124116</v>
      </c>
      <c r="U34" s="53">
        <f t="shared" si="122"/>
        <v>161.86971327444456</v>
      </c>
      <c r="V34" s="53">
        <f t="shared" si="122"/>
        <v>185.77166375216279</v>
      </c>
      <c r="W34" s="13">
        <f t="shared" si="39"/>
        <v>99.99</v>
      </c>
      <c r="X34" s="13">
        <f t="shared" ref="X34:Y34" si="123">IFERROR(ROUND(R34/K34*100,2),0)</f>
        <v>100</v>
      </c>
      <c r="Y34" s="13">
        <f t="shared" si="123"/>
        <v>100</v>
      </c>
      <c r="Z34" s="20">
        <v>0.25296875000000213</v>
      </c>
      <c r="AA34" s="9">
        <v>53.879999999999932</v>
      </c>
      <c r="AB34" s="54">
        <v>64</v>
      </c>
      <c r="AC34" s="56">
        <f t="shared" si="29"/>
        <v>0.27</v>
      </c>
      <c r="AD34" s="55">
        <f t="shared" si="13"/>
        <v>14.946524757333332</v>
      </c>
      <c r="AE34" s="56">
        <f t="shared" ref="AE34:AG34" si="124">IFERROR(ROUND($AC34/Q34*100,2),0)</f>
        <v>12.55</v>
      </c>
      <c r="AF34" s="56">
        <f t="shared" si="124"/>
        <v>8.51</v>
      </c>
      <c r="AG34" s="14">
        <f t="shared" si="124"/>
        <v>7.41</v>
      </c>
    </row>
    <row r="35" spans="1:35" ht="18" customHeight="1">
      <c r="A35" s="22">
        <v>45959</v>
      </c>
      <c r="B35" s="7">
        <v>29</v>
      </c>
      <c r="C35" s="67">
        <v>0.25486111111111115</v>
      </c>
      <c r="D35" s="215">
        <f t="shared" si="9"/>
        <v>6.9805555555555543</v>
      </c>
      <c r="E35" s="68">
        <v>24.49</v>
      </c>
      <c r="F35" s="9">
        <v>10.1</v>
      </c>
      <c r="G35" s="9">
        <v>14.9</v>
      </c>
      <c r="H35" s="9">
        <v>17.100000000000001</v>
      </c>
      <c r="I35" s="69">
        <v>80.55</v>
      </c>
      <c r="J35" s="51">
        <f t="shared" si="77"/>
        <v>6.1100149980000005</v>
      </c>
      <c r="K35" s="51">
        <f t="shared" si="78"/>
        <v>9.0137845020000018</v>
      </c>
      <c r="L35" s="51">
        <f t="shared" si="79"/>
        <v>10.344678858</v>
      </c>
      <c r="M35" s="70">
        <v>15.1</v>
      </c>
      <c r="N35" s="71">
        <v>6.0000000000000001E-3</v>
      </c>
      <c r="O35" s="69">
        <v>80.5</v>
      </c>
      <c r="P35" s="52">
        <f t="shared" si="80"/>
        <v>2.2366120000000002E-3</v>
      </c>
      <c r="Q35" s="214">
        <f t="shared" ref="Q35:S35" si="125">IFERROR(J35-$P35,0)</f>
        <v>6.1077783860000006</v>
      </c>
      <c r="R35" s="214">
        <f t="shared" si="125"/>
        <v>9.011547890000001</v>
      </c>
      <c r="S35" s="214">
        <f t="shared" si="125"/>
        <v>10.342442245999999</v>
      </c>
      <c r="T35" s="53">
        <f t="shared" ref="T35:V35" si="126">Q35+T34</f>
        <v>115.82778152724117</v>
      </c>
      <c r="U35" s="53">
        <f t="shared" si="126"/>
        <v>170.88126116444457</v>
      </c>
      <c r="V35" s="53">
        <f t="shared" si="126"/>
        <v>196.11410599816278</v>
      </c>
      <c r="W35" s="72">
        <f t="shared" si="39"/>
        <v>99.96</v>
      </c>
      <c r="X35" s="72">
        <f t="shared" ref="X35:Y35" si="127">IFERROR(ROUND(R35/K35*100,2),0)</f>
        <v>99.98</v>
      </c>
      <c r="Y35" s="72">
        <f t="shared" si="127"/>
        <v>99.98</v>
      </c>
      <c r="Z35" s="70">
        <v>0.20000000000000137</v>
      </c>
      <c r="AA35" s="9">
        <v>53.879999999999875</v>
      </c>
      <c r="AB35" s="73">
        <v>61</v>
      </c>
      <c r="AC35" s="216">
        <f t="shared" si="29"/>
        <v>0.2</v>
      </c>
      <c r="AD35" s="55">
        <f t="shared" si="13"/>
        <v>15.146524757333331</v>
      </c>
      <c r="AE35" s="56">
        <f t="shared" ref="AE35:AG35" si="128">IFERROR(ROUND($AC35/Q35*100,2),0)</f>
        <v>3.27</v>
      </c>
      <c r="AF35" s="56">
        <f t="shared" si="128"/>
        <v>2.2200000000000002</v>
      </c>
      <c r="AG35" s="14">
        <f t="shared" si="128"/>
        <v>1.93</v>
      </c>
    </row>
    <row r="36" spans="1:35" ht="18" customHeight="1">
      <c r="A36" s="22">
        <v>45960</v>
      </c>
      <c r="B36" s="7">
        <v>30</v>
      </c>
      <c r="C36" s="74">
        <v>0.18958333333333338</v>
      </c>
      <c r="D36" s="215">
        <f t="shared" si="9"/>
        <v>7.1701388888888875</v>
      </c>
      <c r="E36" s="26">
        <v>26.544000000000032</v>
      </c>
      <c r="F36" s="27">
        <v>10.1</v>
      </c>
      <c r="G36" s="27">
        <v>14.9</v>
      </c>
      <c r="H36" s="27">
        <v>17.100000000000001</v>
      </c>
      <c r="I36" s="75">
        <v>24.833333333333332</v>
      </c>
      <c r="J36" s="51">
        <f t="shared" si="77"/>
        <v>2.0416877973333358</v>
      </c>
      <c r="K36" s="51">
        <f t="shared" si="78"/>
        <v>3.0119948693333369</v>
      </c>
      <c r="L36" s="51">
        <f t="shared" si="79"/>
        <v>3.4567189440000043</v>
      </c>
      <c r="M36" s="217">
        <v>15.099999999999957</v>
      </c>
      <c r="N36" s="30">
        <v>1.3751333333333331E-3</v>
      </c>
      <c r="O36" s="75">
        <v>24.833333333333332</v>
      </c>
      <c r="P36" s="52">
        <f t="shared" si="80"/>
        <v>1.5813330487407363E-4</v>
      </c>
      <c r="Q36" s="214">
        <f t="shared" ref="Q36:S36" si="129">IFERROR(J36-$P36,0)</f>
        <v>2.0415296640284617</v>
      </c>
      <c r="R36" s="214">
        <f t="shared" si="129"/>
        <v>3.0118367360284628</v>
      </c>
      <c r="S36" s="214">
        <f t="shared" si="129"/>
        <v>3.4565608106951302</v>
      </c>
      <c r="T36" s="53">
        <f t="shared" ref="T36:V36" si="130">Q36+T35</f>
        <v>117.86931119126963</v>
      </c>
      <c r="U36" s="53">
        <f t="shared" si="130"/>
        <v>173.89309790047304</v>
      </c>
      <c r="V36" s="53">
        <f t="shared" si="130"/>
        <v>199.57066680885791</v>
      </c>
      <c r="W36" s="34">
        <f t="shared" si="39"/>
        <v>99.99</v>
      </c>
      <c r="X36" s="34">
        <f t="shared" ref="X36:Y36" si="131">IFERROR(ROUND(R36/K36*100,2),0)</f>
        <v>99.99</v>
      </c>
      <c r="Y36" s="34">
        <f t="shared" si="131"/>
        <v>100</v>
      </c>
      <c r="Z36" s="218">
        <v>0.20013661202185931</v>
      </c>
      <c r="AA36" s="27">
        <v>53.879999999999875</v>
      </c>
      <c r="AB36" s="76">
        <v>61</v>
      </c>
      <c r="AC36" s="77">
        <f t="shared" si="29"/>
        <v>0.2</v>
      </c>
      <c r="AD36" s="55">
        <f t="shared" si="13"/>
        <v>15.346524757333331</v>
      </c>
      <c r="AE36" s="56">
        <f t="shared" ref="AE36:AG36" si="132">IFERROR(ROUND($AC36/Q36*100,2),0)</f>
        <v>9.8000000000000007</v>
      </c>
      <c r="AF36" s="56">
        <f t="shared" si="132"/>
        <v>6.64</v>
      </c>
      <c r="AG36" s="14">
        <f t="shared" si="132"/>
        <v>5.79</v>
      </c>
    </row>
    <row r="37" spans="1:35" ht="16.5" customHeight="1">
      <c r="A37" s="36" t="s">
        <v>19</v>
      </c>
      <c r="B37" s="36"/>
      <c r="C37" s="37">
        <f>AVERAGE(C7:C36)</f>
        <v>0.23900462962962959</v>
      </c>
      <c r="D37" s="37">
        <f>D36</f>
        <v>7.1701388888888875</v>
      </c>
      <c r="E37" s="38">
        <f>AVERAGE(E24:E36)</f>
        <v>20.594040106928126</v>
      </c>
      <c r="F37" s="78"/>
      <c r="G37" s="78"/>
      <c r="H37" s="78"/>
      <c r="I37" s="78"/>
      <c r="J37" s="38"/>
      <c r="K37" s="79">
        <f>AVERAGE(K24:K36)</f>
        <v>4.7206735360136127</v>
      </c>
      <c r="L37" s="38"/>
      <c r="M37" s="78"/>
      <c r="N37" s="78"/>
      <c r="O37" s="78"/>
      <c r="P37" s="80">
        <f>SUM(P7:P36)</f>
        <v>1.4073342679084652E-2</v>
      </c>
      <c r="Q37" s="38"/>
      <c r="R37" s="38"/>
      <c r="S37" s="38"/>
      <c r="T37" s="38"/>
      <c r="U37" s="38">
        <f>U36</f>
        <v>173.89309790047304</v>
      </c>
      <c r="V37" s="38"/>
      <c r="W37" s="78"/>
      <c r="X37" s="78">
        <f>ROUND(AVERAGE(X7:X36),2)</f>
        <v>99.99</v>
      </c>
      <c r="Y37" s="78"/>
      <c r="Z37" s="78"/>
      <c r="AA37" s="78"/>
      <c r="AB37" s="78"/>
      <c r="AC37" s="79"/>
      <c r="AD37" s="38">
        <f>AD36</f>
        <v>15.346524757333331</v>
      </c>
      <c r="AE37" s="78"/>
      <c r="AF37" s="78"/>
      <c r="AG37" s="78"/>
    </row>
    <row r="38" spans="1:35" ht="16.5" customHeight="1"/>
    <row r="39" spans="1:35" ht="16.5" customHeight="1"/>
    <row r="40" spans="1:35" ht="16.5" customHeight="1"/>
    <row r="41" spans="1:35" ht="16.5" customHeight="1"/>
    <row r="42" spans="1:35" ht="16.5" customHeight="1">
      <c r="A42" s="81"/>
    </row>
    <row r="43" spans="1:35" ht="16.5" customHeight="1"/>
    <row r="44" spans="1:35" ht="16.5" customHeight="1">
      <c r="B44" s="82" t="s">
        <v>20</v>
      </c>
      <c r="Q44" s="82" t="s">
        <v>21</v>
      </c>
      <c r="X44" s="82" t="s">
        <v>22</v>
      </c>
      <c r="AI44" s="82" t="s">
        <v>23</v>
      </c>
    </row>
    <row r="45" spans="1:35" ht="16.5" customHeight="1"/>
    <row r="46" spans="1:35" ht="16.5" customHeight="1"/>
    <row r="47" spans="1:35" ht="16.5" customHeight="1"/>
    <row r="48" spans="1:35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spans="35:45" ht="16.5" customHeight="1"/>
    <row r="66" spans="35:45" ht="16.5" customHeight="1"/>
    <row r="67" spans="35:45" ht="16.5" customHeight="1"/>
    <row r="68" spans="35:45" ht="16.5" customHeight="1"/>
    <row r="69" spans="35:45" ht="16.5" customHeight="1"/>
    <row r="70" spans="35:45" ht="16.5" customHeight="1"/>
    <row r="71" spans="35:45" ht="16.5" customHeight="1">
      <c r="AO71" s="123"/>
      <c r="AQ71" s="123"/>
      <c r="AS71" s="123"/>
    </row>
    <row r="72" spans="35:45" ht="16.5" customHeight="1">
      <c r="AI72" s="166"/>
      <c r="AL72" s="123"/>
      <c r="AN72" s="123"/>
      <c r="AO72" s="164"/>
      <c r="AP72" s="164"/>
      <c r="AQ72" s="164"/>
      <c r="AR72" s="165"/>
    </row>
    <row r="73" spans="35:45" ht="16.5" customHeight="1">
      <c r="AL73" s="123"/>
      <c r="AN73" s="123"/>
      <c r="AO73" s="164"/>
      <c r="AQ73" s="164"/>
    </row>
    <row r="74" spans="35:45" ht="16.5" customHeight="1">
      <c r="AI74" s="40" t="s">
        <v>26</v>
      </c>
    </row>
    <row r="75" spans="35:45" ht="16.5" customHeight="1"/>
    <row r="76" spans="35:45" ht="16.5" customHeight="1"/>
    <row r="77" spans="35:45" ht="16.5" customHeight="1"/>
    <row r="78" spans="35:45" ht="16.5" customHeight="1"/>
    <row r="79" spans="35:45" ht="16.5" customHeight="1"/>
    <row r="80" spans="35:45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spans="35:35" ht="16.5" customHeight="1"/>
    <row r="98" spans="35:35" ht="16.5" customHeight="1"/>
    <row r="99" spans="35:35" ht="16.5" customHeight="1"/>
    <row r="100" spans="35:35" ht="16.5" customHeight="1"/>
    <row r="101" spans="35:35" ht="16.5" customHeight="1">
      <c r="AI101" s="40" t="s">
        <v>27</v>
      </c>
    </row>
    <row r="102" spans="35:35" ht="16.5" customHeight="1"/>
    <row r="103" spans="35:35" ht="16.5" customHeight="1"/>
    <row r="104" spans="35:35" ht="16.5" customHeight="1"/>
    <row r="105" spans="35:35" ht="16.5" customHeight="1"/>
    <row r="106" spans="35:35" ht="16.5" customHeight="1"/>
    <row r="107" spans="35:35" ht="16.5" customHeight="1"/>
    <row r="108" spans="35:35" ht="16.5" customHeight="1"/>
    <row r="109" spans="35:35" ht="16.5" customHeight="1"/>
    <row r="110" spans="35:35" ht="16.5" customHeight="1"/>
    <row r="111" spans="35:35" ht="16.5" customHeight="1"/>
    <row r="112" spans="35:35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3">
    <mergeCell ref="AE5:AG5"/>
    <mergeCell ref="B4:B5"/>
    <mergeCell ref="C4:C5"/>
    <mergeCell ref="D4:D5"/>
    <mergeCell ref="E4:L4"/>
    <mergeCell ref="M4:P4"/>
    <mergeCell ref="Q4:Y4"/>
    <mergeCell ref="Z4:AG4"/>
    <mergeCell ref="F5:H5"/>
    <mergeCell ref="J5:L5"/>
    <mergeCell ref="Q5:S5"/>
    <mergeCell ref="T5:V5"/>
    <mergeCell ref="W5:Y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showGridLines="0" topLeftCell="A4" zoomScale="17" zoomScaleNormal="17" workbookViewId="0">
      <selection activeCell="BD118" sqref="BD118"/>
    </sheetView>
  </sheetViews>
  <sheetFormatPr defaultColWidth="12.6640625" defaultRowHeight="15" customHeight="1"/>
  <cols>
    <col min="1" max="1" width="28.44140625" customWidth="1"/>
    <col min="2" max="2" width="14.44140625" customWidth="1"/>
    <col min="3" max="3" width="14.33203125" bestFit="1" customWidth="1"/>
    <col min="4" max="4" width="31.44140625" customWidth="1"/>
    <col min="5" max="12" width="14.44140625" customWidth="1"/>
    <col min="13" max="13" width="40.6640625" bestFit="1" customWidth="1"/>
    <col min="14" max="14" width="58.6640625" bestFit="1" customWidth="1"/>
    <col min="15" max="15" width="22.6640625" customWidth="1"/>
    <col min="16" max="19" width="14.44140625" customWidth="1"/>
    <col min="20" max="20" width="37" customWidth="1"/>
    <col min="21" max="21" width="28.44140625" customWidth="1"/>
    <col min="22" max="34" width="8.6640625" customWidth="1"/>
    <col min="35" max="35" width="10.33203125" customWidth="1"/>
    <col min="36" max="36" width="19.6640625" customWidth="1"/>
    <col min="37" max="37" width="16.6640625" customWidth="1"/>
    <col min="38" max="38" width="5.33203125" customWidth="1"/>
    <col min="39" max="39" width="7.33203125" customWidth="1"/>
    <col min="40" max="40" width="7.88671875" customWidth="1"/>
    <col min="41" max="41" width="7.33203125" customWidth="1"/>
    <col min="42" max="44" width="7.6640625" customWidth="1"/>
    <col min="45" max="46" width="8.6640625" customWidth="1"/>
    <col min="47" max="47" width="26.33203125" customWidth="1"/>
    <col min="48" max="48" width="8.6640625" customWidth="1"/>
    <col min="49" max="50" width="26.33203125" customWidth="1"/>
    <col min="51" max="51" width="16.6640625" customWidth="1"/>
    <col min="52" max="52" width="8.33203125" customWidth="1"/>
    <col min="53" max="53" width="7.33203125" customWidth="1"/>
    <col min="54" max="54" width="7.88671875" customWidth="1"/>
    <col min="55" max="55" width="7.33203125" customWidth="1"/>
    <col min="56" max="56" width="7.6640625" customWidth="1"/>
    <col min="57" max="57" width="19" customWidth="1"/>
    <col min="58" max="58" width="15.88671875" bestFit="1" customWidth="1"/>
    <col min="59" max="59" width="5.33203125" customWidth="1"/>
    <col min="60" max="60" width="7" customWidth="1"/>
    <col min="61" max="61" width="7.88671875" customWidth="1"/>
    <col min="62" max="62" width="7.109375" customWidth="1"/>
    <col min="63" max="63" width="7.6640625" customWidth="1"/>
    <col min="64" max="64" width="7.33203125" customWidth="1"/>
    <col min="65" max="65" width="7.44140625" customWidth="1"/>
    <col min="66" max="66" width="9.33203125" customWidth="1"/>
    <col min="67" max="69" width="8.6640625" customWidth="1"/>
    <col min="70" max="70" width="24.88671875" customWidth="1"/>
    <col min="71" max="71" width="24.5546875" bestFit="1" customWidth="1"/>
    <col min="72" max="72" width="4.33203125" customWidth="1"/>
    <col min="73" max="73" width="7" customWidth="1"/>
    <col min="74" max="74" width="7.88671875" customWidth="1"/>
    <col min="75" max="75" width="7.109375" customWidth="1"/>
    <col min="76" max="76" width="7.6640625" customWidth="1"/>
    <col min="77" max="77" width="7.33203125" customWidth="1"/>
    <col min="78" max="78" width="7.44140625" customWidth="1"/>
    <col min="79" max="81" width="8.6640625" customWidth="1"/>
  </cols>
  <sheetData>
    <row r="1" spans="1:21" ht="16.5" customHeight="1">
      <c r="A1" s="1" t="s">
        <v>28</v>
      </c>
      <c r="B1" s="39"/>
    </row>
    <row r="2" spans="1:21" ht="16.5" customHeight="1"/>
    <row r="3" spans="1:21" ht="16.5" customHeight="1">
      <c r="B3" s="262" t="s">
        <v>1</v>
      </c>
      <c r="C3" s="264" t="s">
        <v>2</v>
      </c>
      <c r="D3" s="264" t="s">
        <v>29</v>
      </c>
      <c r="E3" s="279" t="s">
        <v>4</v>
      </c>
      <c r="F3" s="267"/>
      <c r="G3" s="267"/>
      <c r="H3" s="268"/>
      <c r="I3" s="269" t="s">
        <v>5</v>
      </c>
      <c r="J3" s="267"/>
      <c r="K3" s="267"/>
      <c r="L3" s="268"/>
      <c r="M3" s="270" t="s">
        <v>6</v>
      </c>
      <c r="N3" s="267"/>
      <c r="O3" s="268"/>
      <c r="P3" s="271" t="s">
        <v>7</v>
      </c>
      <c r="Q3" s="267"/>
      <c r="R3" s="267"/>
      <c r="S3" s="267"/>
      <c r="T3" s="267"/>
      <c r="U3" s="272"/>
    </row>
    <row r="4" spans="1:21" ht="62.25" customHeight="1">
      <c r="B4" s="263"/>
      <c r="C4" s="265"/>
      <c r="D4" s="265"/>
      <c r="E4" s="201" t="s">
        <v>8</v>
      </c>
      <c r="F4" s="202" t="s">
        <v>9</v>
      </c>
      <c r="G4" s="202" t="s">
        <v>10</v>
      </c>
      <c r="H4" s="2" t="s">
        <v>11</v>
      </c>
      <c r="I4" s="203" t="s">
        <v>8</v>
      </c>
      <c r="J4" s="204" t="s">
        <v>9</v>
      </c>
      <c r="K4" s="204" t="s">
        <v>10</v>
      </c>
      <c r="L4" s="3" t="s">
        <v>11</v>
      </c>
      <c r="M4" s="210" t="s">
        <v>30</v>
      </c>
      <c r="N4" s="210" t="s">
        <v>31</v>
      </c>
      <c r="O4" s="4" t="s">
        <v>14</v>
      </c>
      <c r="P4" s="205" t="s">
        <v>8</v>
      </c>
      <c r="Q4" s="206" t="s">
        <v>9</v>
      </c>
      <c r="R4" s="206" t="s">
        <v>10</v>
      </c>
      <c r="S4" s="84" t="s">
        <v>15</v>
      </c>
      <c r="T4" s="84" t="s">
        <v>32</v>
      </c>
      <c r="U4" s="85" t="s">
        <v>33</v>
      </c>
    </row>
    <row r="5" spans="1:21" ht="16.5" customHeight="1">
      <c r="A5" s="22">
        <v>45965</v>
      </c>
      <c r="B5" s="7">
        <v>1</v>
      </c>
      <c r="C5" s="49">
        <v>0.2277777777777778</v>
      </c>
      <c r="D5" s="219">
        <v>0.22777777777777777</v>
      </c>
      <c r="E5" s="16">
        <v>16.99811320754721</v>
      </c>
      <c r="F5" s="9">
        <v>14.900000000000006</v>
      </c>
      <c r="G5" s="16">
        <v>52.833333333333336</v>
      </c>
      <c r="H5" s="10">
        <f t="shared" ref="H5:H42" si="0">ROUND(E5*F5*1.84*(G5/60)*0.01,2)</f>
        <v>4.0999999999999996</v>
      </c>
      <c r="I5" s="20">
        <v>14.332075471698195</v>
      </c>
      <c r="J5" s="19">
        <v>1.0817610062893101E-5</v>
      </c>
      <c r="K5" s="16">
        <v>52.833333333333336</v>
      </c>
      <c r="L5" s="87">
        <f t="shared" ref="L5:L42" si="1">I5*J5*1.84*(K5/60)*0.01</f>
        <v>2.5119731529607406E-6</v>
      </c>
      <c r="M5" s="220">
        <f t="shared" ref="M5:M42" si="2">H5-L5</f>
        <v>4.0999974880268466</v>
      </c>
      <c r="N5" s="220">
        <f>M5</f>
        <v>4.0999974880268466</v>
      </c>
      <c r="O5" s="88">
        <f>ROUND(M5/H5*100,2)</f>
        <v>100</v>
      </c>
      <c r="P5" s="11">
        <v>0.20000000000000157</v>
      </c>
      <c r="Q5" s="9">
        <v>53.88</v>
      </c>
      <c r="R5" s="57">
        <v>70.833333333333329</v>
      </c>
      <c r="S5" s="56">
        <f t="shared" ref="S5:S42" si="3">ROUND(P5*Q5*1.84*(R5/60)*0.01,2)</f>
        <v>0.23</v>
      </c>
      <c r="T5" s="56">
        <v>0.23</v>
      </c>
      <c r="U5" s="89">
        <f>IFERROR(ROUND(S5/M5 *100,2),0)</f>
        <v>5.61</v>
      </c>
    </row>
    <row r="6" spans="1:21" ht="16.5" customHeight="1">
      <c r="A6" s="22">
        <v>45967</v>
      </c>
      <c r="B6" s="7">
        <v>2</v>
      </c>
      <c r="C6" s="49">
        <v>0.22499999999999998</v>
      </c>
      <c r="D6" s="215">
        <f t="shared" ref="D6:D42" si="4">C6+D5</f>
        <v>0.45277777777777772</v>
      </c>
      <c r="E6" s="16">
        <v>16.026608695652172</v>
      </c>
      <c r="F6" s="90">
        <v>14.899999999999842</v>
      </c>
      <c r="G6" s="16">
        <v>95.666666666666671</v>
      </c>
      <c r="H6" s="10">
        <f t="shared" si="0"/>
        <v>7.01</v>
      </c>
      <c r="I6" s="20">
        <v>14.24904347826099</v>
      </c>
      <c r="J6" s="18">
        <v>2.0572173913043466E-4</v>
      </c>
      <c r="K6" s="16">
        <v>95.666666666666671</v>
      </c>
      <c r="L6" s="87">
        <f t="shared" si="1"/>
        <v>8.5998942990841282E-5</v>
      </c>
      <c r="M6" s="220">
        <f t="shared" si="2"/>
        <v>7.0099140010570089</v>
      </c>
      <c r="N6" s="220">
        <f t="shared" ref="N6:N42" si="5">N5+M6</f>
        <v>11.109911489083856</v>
      </c>
      <c r="O6" s="88">
        <f t="shared" ref="O6:O41" si="6">ROUND(M6/H6*100,2)</f>
        <v>100</v>
      </c>
      <c r="P6" s="11">
        <v>0.2000000000000007</v>
      </c>
      <c r="Q6" s="9">
        <v>53.88</v>
      </c>
      <c r="R6" s="57">
        <v>41.833333333333336</v>
      </c>
      <c r="S6" s="56">
        <f t="shared" si="3"/>
        <v>0.14000000000000001</v>
      </c>
      <c r="T6" s="56">
        <f t="shared" ref="T6:T42" si="7">T5+S6</f>
        <v>0.37</v>
      </c>
      <c r="U6" s="89">
        <f t="shared" ref="U6:U42" si="8">IFERROR(ROUND(S6/M6 *100,2),0)</f>
        <v>2</v>
      </c>
    </row>
    <row r="7" spans="1:21" ht="16.5" customHeight="1">
      <c r="A7" s="22">
        <v>45968</v>
      </c>
      <c r="B7" s="7">
        <v>3</v>
      </c>
      <c r="C7" s="49">
        <v>0.31250000000000006</v>
      </c>
      <c r="D7" s="215">
        <f t="shared" si="4"/>
        <v>0.76527777777777772</v>
      </c>
      <c r="E7" s="9">
        <v>16.5</v>
      </c>
      <c r="F7" s="9">
        <v>14.899999999999874</v>
      </c>
      <c r="G7" s="16">
        <v>82.166666666666671</v>
      </c>
      <c r="H7" s="10">
        <f t="shared" si="0"/>
        <v>6.19</v>
      </c>
      <c r="I7" s="11">
        <v>15.100000000000128</v>
      </c>
      <c r="J7" s="9">
        <v>1.6753036437246955E-4</v>
      </c>
      <c r="K7" s="16">
        <v>82.166666666666671</v>
      </c>
      <c r="L7" s="87">
        <f t="shared" si="1"/>
        <v>6.3743032676563715E-5</v>
      </c>
      <c r="M7" s="220">
        <f t="shared" si="2"/>
        <v>6.1899362569673242</v>
      </c>
      <c r="N7" s="220">
        <f t="shared" si="5"/>
        <v>17.299847746051181</v>
      </c>
      <c r="O7" s="88">
        <f t="shared" si="6"/>
        <v>100</v>
      </c>
      <c r="P7" s="20">
        <v>0.21124183006536026</v>
      </c>
      <c r="Q7" s="9">
        <v>53.879999999999654</v>
      </c>
      <c r="R7" s="57">
        <v>50.833333333333336</v>
      </c>
      <c r="S7" s="56">
        <f t="shared" si="3"/>
        <v>0.18</v>
      </c>
      <c r="T7" s="56">
        <f t="shared" si="7"/>
        <v>0.55000000000000004</v>
      </c>
      <c r="U7" s="89">
        <f t="shared" si="8"/>
        <v>2.91</v>
      </c>
    </row>
    <row r="8" spans="1:21" ht="16.5" customHeight="1">
      <c r="A8" s="22">
        <v>45972</v>
      </c>
      <c r="B8" s="7">
        <v>4</v>
      </c>
      <c r="C8" s="49">
        <v>0.21666666666666667</v>
      </c>
      <c r="D8" s="215">
        <f t="shared" si="4"/>
        <v>0.9819444444444444</v>
      </c>
      <c r="E8" s="16">
        <v>16.671428571428542</v>
      </c>
      <c r="F8" s="9">
        <v>14.900000000000036</v>
      </c>
      <c r="G8" s="16">
        <v>48.833333333333336</v>
      </c>
      <c r="H8" s="10">
        <f t="shared" si="0"/>
        <v>3.72</v>
      </c>
      <c r="I8" s="20">
        <v>14.95748299319728</v>
      </c>
      <c r="J8" s="21">
        <v>4.1015306122448997E-3</v>
      </c>
      <c r="K8" s="16">
        <v>48.833333333333336</v>
      </c>
      <c r="L8" s="87">
        <f t="shared" si="1"/>
        <v>9.1872898386282005E-4</v>
      </c>
      <c r="M8" s="220">
        <f t="shared" si="2"/>
        <v>3.7190812710161372</v>
      </c>
      <c r="N8" s="220">
        <f t="shared" si="5"/>
        <v>21.018929017067318</v>
      </c>
      <c r="O8" s="88">
        <f t="shared" si="6"/>
        <v>99.98</v>
      </c>
      <c r="P8" s="20">
        <v>0.21124183006536026</v>
      </c>
      <c r="Q8" s="9">
        <v>53.879999999999654</v>
      </c>
      <c r="R8" s="57">
        <v>50.833333333333336</v>
      </c>
      <c r="S8" s="56">
        <f t="shared" si="3"/>
        <v>0.18</v>
      </c>
      <c r="T8" s="56">
        <f t="shared" si="7"/>
        <v>0.73</v>
      </c>
      <c r="U8" s="89">
        <f t="shared" si="8"/>
        <v>4.84</v>
      </c>
    </row>
    <row r="9" spans="1:21" ht="16.5" customHeight="1">
      <c r="A9" s="22">
        <v>45973</v>
      </c>
      <c r="B9" s="7">
        <v>5</v>
      </c>
      <c r="C9" s="49">
        <v>0.22013888888888888</v>
      </c>
      <c r="D9" s="215">
        <f t="shared" si="4"/>
        <v>1.2020833333333334</v>
      </c>
      <c r="E9" s="16">
        <v>17.366929133858406</v>
      </c>
      <c r="F9" s="9">
        <v>14.899999999999944</v>
      </c>
      <c r="G9" s="16">
        <v>63.333333333333336</v>
      </c>
      <c r="H9" s="10">
        <f t="shared" si="0"/>
        <v>5.03</v>
      </c>
      <c r="I9" s="20">
        <v>14.738845144356956</v>
      </c>
      <c r="J9" s="21">
        <v>1.6456692913385832E-3</v>
      </c>
      <c r="K9" s="16">
        <v>63.333333333333336</v>
      </c>
      <c r="L9" s="87">
        <f t="shared" si="1"/>
        <v>4.7109114385636208E-4</v>
      </c>
      <c r="M9" s="220">
        <f t="shared" si="2"/>
        <v>5.0295289088561441</v>
      </c>
      <c r="N9" s="220">
        <f t="shared" si="5"/>
        <v>26.048457925923461</v>
      </c>
      <c r="O9" s="88">
        <f t="shared" si="6"/>
        <v>99.99</v>
      </c>
      <c r="P9" s="11">
        <v>0.20000000000000034</v>
      </c>
      <c r="Q9" s="9">
        <v>53.88</v>
      </c>
      <c r="R9" s="57">
        <v>35.833333333333336</v>
      </c>
      <c r="S9" s="56">
        <f t="shared" si="3"/>
        <v>0.12</v>
      </c>
      <c r="T9" s="56">
        <f t="shared" si="7"/>
        <v>0.85</v>
      </c>
      <c r="U9" s="89">
        <f t="shared" si="8"/>
        <v>2.39</v>
      </c>
    </row>
    <row r="10" spans="1:21" ht="16.5" customHeight="1">
      <c r="A10" s="22">
        <v>45974</v>
      </c>
      <c r="B10" s="7">
        <v>6</v>
      </c>
      <c r="C10" s="49">
        <v>0.26944444444444443</v>
      </c>
      <c r="D10" s="215">
        <f t="shared" si="4"/>
        <v>1.4715277777777778</v>
      </c>
      <c r="E10" s="16">
        <v>16.567241379310584</v>
      </c>
      <c r="F10" s="9">
        <v>14.899999999999807</v>
      </c>
      <c r="G10" s="90">
        <v>115.83333333333333</v>
      </c>
      <c r="H10" s="10">
        <f t="shared" si="0"/>
        <v>8.77</v>
      </c>
      <c r="I10" s="20">
        <v>14.404454022988507</v>
      </c>
      <c r="J10" s="19">
        <v>9.9999999999998348E-6</v>
      </c>
      <c r="K10" s="90">
        <v>115.83333333333333</v>
      </c>
      <c r="L10" s="87">
        <f t="shared" si="1"/>
        <v>5.1167821679437218E-6</v>
      </c>
      <c r="M10" s="220">
        <f t="shared" si="2"/>
        <v>8.7699948832178318</v>
      </c>
      <c r="N10" s="220">
        <f t="shared" si="5"/>
        <v>34.818452809141291</v>
      </c>
      <c r="O10" s="88">
        <f t="shared" si="6"/>
        <v>100</v>
      </c>
      <c r="P10" s="20">
        <v>0.29225925925926022</v>
      </c>
      <c r="Q10" s="9">
        <v>53.88</v>
      </c>
      <c r="R10" s="57">
        <v>44.833333333333336</v>
      </c>
      <c r="S10" s="56">
        <f t="shared" si="3"/>
        <v>0.22</v>
      </c>
      <c r="T10" s="56">
        <f t="shared" si="7"/>
        <v>1.07</v>
      </c>
      <c r="U10" s="89">
        <f t="shared" si="8"/>
        <v>2.5099999999999998</v>
      </c>
    </row>
    <row r="11" spans="1:21" ht="16.5" customHeight="1">
      <c r="A11" s="22">
        <v>45975</v>
      </c>
      <c r="B11" s="7">
        <v>7</v>
      </c>
      <c r="C11" s="49">
        <v>0.28819444444444442</v>
      </c>
      <c r="D11" s="215">
        <f t="shared" si="4"/>
        <v>1.7597222222222222</v>
      </c>
      <c r="E11" s="16">
        <v>17.59237288135586</v>
      </c>
      <c r="F11" s="9">
        <v>14.899999999999803</v>
      </c>
      <c r="G11" s="16">
        <v>117.83333333333333</v>
      </c>
      <c r="H11" s="10">
        <f t="shared" si="0"/>
        <v>9.4700000000000006</v>
      </c>
      <c r="I11" s="20">
        <v>12.101694915254237</v>
      </c>
      <c r="J11" s="19">
        <v>9.9999999999998297E-6</v>
      </c>
      <c r="K11" s="16">
        <v>117.83333333333333</v>
      </c>
      <c r="L11" s="87">
        <f t="shared" si="1"/>
        <v>4.3730146892654624E-6</v>
      </c>
      <c r="M11" s="220">
        <f t="shared" si="2"/>
        <v>9.4699956269853107</v>
      </c>
      <c r="N11" s="220">
        <f t="shared" si="5"/>
        <v>44.2884484361266</v>
      </c>
      <c r="O11" s="88">
        <f t="shared" si="6"/>
        <v>100</v>
      </c>
      <c r="P11" s="11">
        <v>0.36</v>
      </c>
      <c r="Q11" s="9">
        <v>53.88</v>
      </c>
      <c r="R11" s="96">
        <v>60.83</v>
      </c>
      <c r="S11" s="56">
        <f t="shared" si="3"/>
        <v>0.36</v>
      </c>
      <c r="T11" s="56">
        <f t="shared" si="7"/>
        <v>1.4300000000000002</v>
      </c>
      <c r="U11" s="89">
        <f t="shared" si="8"/>
        <v>3.8</v>
      </c>
    </row>
    <row r="12" spans="1:21" ht="16.5" customHeight="1">
      <c r="A12" s="22">
        <v>45978</v>
      </c>
      <c r="B12" s="7">
        <v>8</v>
      </c>
      <c r="C12" s="49">
        <v>0.27013888888888887</v>
      </c>
      <c r="D12" s="215">
        <f t="shared" si="4"/>
        <v>2.0298611111111109</v>
      </c>
      <c r="E12" s="16">
        <v>14.410869565217171</v>
      </c>
      <c r="F12" s="9">
        <v>14.899999999999778</v>
      </c>
      <c r="G12" s="16">
        <v>137.83333333333334</v>
      </c>
      <c r="H12" s="10">
        <f t="shared" si="0"/>
        <v>9.08</v>
      </c>
      <c r="I12" s="20">
        <v>13.35</v>
      </c>
      <c r="J12" s="19">
        <v>9.9999999999998297E-6</v>
      </c>
      <c r="K12" s="16">
        <v>137.83333333333334</v>
      </c>
      <c r="L12" s="87">
        <f t="shared" si="1"/>
        <v>5.6428966666665719E-6</v>
      </c>
      <c r="M12" s="220">
        <f t="shared" si="2"/>
        <v>9.0799943571033328</v>
      </c>
      <c r="N12" s="220">
        <f t="shared" si="5"/>
        <v>53.368442793229931</v>
      </c>
      <c r="O12" s="88">
        <f t="shared" si="6"/>
        <v>100</v>
      </c>
      <c r="P12" s="20">
        <v>0.45580882352941049</v>
      </c>
      <c r="Q12" s="9">
        <v>53.88</v>
      </c>
      <c r="R12" s="57">
        <v>67.833333333333329</v>
      </c>
      <c r="S12" s="56">
        <f t="shared" si="3"/>
        <v>0.51</v>
      </c>
      <c r="T12" s="56">
        <f t="shared" si="7"/>
        <v>1.9400000000000002</v>
      </c>
      <c r="U12" s="89">
        <f t="shared" si="8"/>
        <v>5.62</v>
      </c>
    </row>
    <row r="13" spans="1:21" ht="16.5" customHeight="1">
      <c r="A13" s="22">
        <v>45979</v>
      </c>
      <c r="B13" s="7">
        <v>9</v>
      </c>
      <c r="C13" s="49">
        <v>0.2638888888888889</v>
      </c>
      <c r="D13" s="215">
        <f t="shared" si="4"/>
        <v>2.2937499999999997</v>
      </c>
      <c r="E13" s="16">
        <v>17.872727272727342</v>
      </c>
      <c r="F13" s="9">
        <v>14.8999999999998</v>
      </c>
      <c r="G13" s="16">
        <v>120.83333333333333</v>
      </c>
      <c r="H13" s="10">
        <f t="shared" si="0"/>
        <v>9.8699999999999992</v>
      </c>
      <c r="I13" s="20">
        <v>12.045454545454545</v>
      </c>
      <c r="J13" s="19">
        <v>9.9999999999998246E-6</v>
      </c>
      <c r="K13" s="16">
        <v>120.83333333333333</v>
      </c>
      <c r="L13" s="87">
        <f t="shared" si="1"/>
        <v>4.4635101010100228E-6</v>
      </c>
      <c r="M13" s="220">
        <f t="shared" si="2"/>
        <v>9.869995536489899</v>
      </c>
      <c r="N13" s="220">
        <f t="shared" si="5"/>
        <v>63.238438329719827</v>
      </c>
      <c r="O13" s="88">
        <f t="shared" si="6"/>
        <v>100</v>
      </c>
      <c r="P13" s="20">
        <v>0.36</v>
      </c>
      <c r="Q13" s="16">
        <v>0</v>
      </c>
      <c r="R13" s="96">
        <v>60.83</v>
      </c>
      <c r="S13" s="56">
        <f t="shared" si="3"/>
        <v>0</v>
      </c>
      <c r="T13" s="56">
        <f t="shared" si="7"/>
        <v>1.9400000000000002</v>
      </c>
      <c r="U13" s="89">
        <f t="shared" si="8"/>
        <v>0</v>
      </c>
    </row>
    <row r="14" spans="1:21" ht="16.5" customHeight="1">
      <c r="A14" s="22">
        <v>45980</v>
      </c>
      <c r="B14" s="7">
        <v>10</v>
      </c>
      <c r="C14" s="49">
        <v>0.23472222222222222</v>
      </c>
      <c r="D14" s="215">
        <f t="shared" si="4"/>
        <v>2.5284722222222218</v>
      </c>
      <c r="E14" s="16">
        <v>18.916483516483702</v>
      </c>
      <c r="F14" s="16">
        <v>10.977912087912072</v>
      </c>
      <c r="G14" s="16">
        <v>90.833333333333329</v>
      </c>
      <c r="H14" s="10">
        <f t="shared" si="0"/>
        <v>5.78</v>
      </c>
      <c r="I14" s="20">
        <v>5</v>
      </c>
      <c r="J14" s="19">
        <v>9.9633699633698652E-6</v>
      </c>
      <c r="K14" s="16">
        <v>90.833333333333329</v>
      </c>
      <c r="L14" s="87">
        <f t="shared" si="1"/>
        <v>1.3876760276760139E-6</v>
      </c>
      <c r="M14" s="220">
        <f t="shared" si="2"/>
        <v>5.7799986123239728</v>
      </c>
      <c r="N14" s="220">
        <f t="shared" si="5"/>
        <v>69.018436942043806</v>
      </c>
      <c r="O14" s="88">
        <f t="shared" si="6"/>
        <v>100</v>
      </c>
      <c r="P14" s="20">
        <v>0.29942622950819764</v>
      </c>
      <c r="Q14" s="9">
        <v>66.83</v>
      </c>
      <c r="R14" s="57">
        <v>60.833333333333336</v>
      </c>
      <c r="S14" s="56">
        <f t="shared" si="3"/>
        <v>0.37</v>
      </c>
      <c r="T14" s="56">
        <f t="shared" si="7"/>
        <v>2.31</v>
      </c>
      <c r="U14" s="89">
        <f t="shared" si="8"/>
        <v>6.4</v>
      </c>
    </row>
    <row r="15" spans="1:21" ht="16.5" customHeight="1">
      <c r="A15" s="22">
        <v>45981</v>
      </c>
      <c r="B15" s="7">
        <v>11</v>
      </c>
      <c r="C15" s="49">
        <v>0.25277777777777777</v>
      </c>
      <c r="D15" s="215">
        <f t="shared" si="4"/>
        <v>2.7812499999999996</v>
      </c>
      <c r="E15" s="16">
        <v>11.230999999999913</v>
      </c>
      <c r="F15" s="16">
        <v>2.6081000000000087</v>
      </c>
      <c r="G15" s="16">
        <v>99.833333333333329</v>
      </c>
      <c r="H15" s="10">
        <f t="shared" si="0"/>
        <v>0.9</v>
      </c>
      <c r="I15" s="20">
        <v>4.1749999999999998</v>
      </c>
      <c r="J15" s="19">
        <v>9.9999999999998738E-6</v>
      </c>
      <c r="K15" s="16">
        <v>99.833333333333329</v>
      </c>
      <c r="L15" s="87">
        <f t="shared" si="1"/>
        <v>1.278199444444428E-6</v>
      </c>
      <c r="M15" s="220">
        <f t="shared" si="2"/>
        <v>0.89999872180055562</v>
      </c>
      <c r="N15" s="220">
        <f t="shared" si="5"/>
        <v>69.918435663844363</v>
      </c>
      <c r="O15" s="88">
        <f t="shared" si="6"/>
        <v>100</v>
      </c>
      <c r="P15" s="20">
        <v>0.30814516129032349</v>
      </c>
      <c r="Q15" s="9">
        <v>71.33</v>
      </c>
      <c r="R15" s="57">
        <v>61.833333333333336</v>
      </c>
      <c r="S15" s="56">
        <f t="shared" si="3"/>
        <v>0.42</v>
      </c>
      <c r="T15" s="56">
        <f t="shared" si="7"/>
        <v>2.73</v>
      </c>
      <c r="U15" s="89">
        <f t="shared" si="8"/>
        <v>46.67</v>
      </c>
    </row>
    <row r="16" spans="1:21" ht="16.5" customHeight="1">
      <c r="A16" s="22">
        <v>45982</v>
      </c>
      <c r="B16" s="7">
        <v>12</v>
      </c>
      <c r="C16" s="49">
        <v>0.25555555555555554</v>
      </c>
      <c r="D16" s="215">
        <f t="shared" si="4"/>
        <v>3.0368055555555551</v>
      </c>
      <c r="E16" s="16">
        <v>19.052678571428551</v>
      </c>
      <c r="F16" s="16">
        <v>12.873928571428475</v>
      </c>
      <c r="G16" s="16">
        <v>111.83333333333333</v>
      </c>
      <c r="H16" s="10">
        <f t="shared" si="0"/>
        <v>8.41</v>
      </c>
      <c r="I16" s="20">
        <v>10.613839285714286</v>
      </c>
      <c r="J16" s="19">
        <v>0.14285714285714285</v>
      </c>
      <c r="K16" s="16">
        <v>111.83333333333333</v>
      </c>
      <c r="L16" s="87">
        <f t="shared" si="1"/>
        <v>5.2001073554421774E-2</v>
      </c>
      <c r="M16" s="220">
        <f t="shared" si="2"/>
        <v>8.3579989264455783</v>
      </c>
      <c r="N16" s="220">
        <f t="shared" si="5"/>
        <v>78.276434590289938</v>
      </c>
      <c r="O16" s="88">
        <f t="shared" si="6"/>
        <v>99.38</v>
      </c>
      <c r="P16" s="20">
        <v>0.33141975308641963</v>
      </c>
      <c r="Q16" s="9">
        <v>53.88</v>
      </c>
      <c r="R16" s="57">
        <v>53.833333333333336</v>
      </c>
      <c r="S16" s="56">
        <f t="shared" si="3"/>
        <v>0.28999999999999998</v>
      </c>
      <c r="T16" s="56">
        <f t="shared" si="7"/>
        <v>3.02</v>
      </c>
      <c r="U16" s="89">
        <f t="shared" si="8"/>
        <v>3.47</v>
      </c>
    </row>
    <row r="17" spans="1:23" ht="16.5" customHeight="1">
      <c r="A17" s="22">
        <v>45985</v>
      </c>
      <c r="B17" s="7">
        <v>13</v>
      </c>
      <c r="C17" s="49">
        <v>0.23124999999999996</v>
      </c>
      <c r="D17" s="215">
        <f t="shared" si="4"/>
        <v>3.2680555555555548</v>
      </c>
      <c r="E17" s="16">
        <v>23.718867924528382</v>
      </c>
      <c r="F17" s="16">
        <v>5.5124528301886784</v>
      </c>
      <c r="G17" s="16">
        <v>52.833333333333336</v>
      </c>
      <c r="H17" s="10">
        <f t="shared" si="0"/>
        <v>2.12</v>
      </c>
      <c r="I17" s="20">
        <v>12.641509433962296</v>
      </c>
      <c r="J17" s="90">
        <v>0.11433962264150972</v>
      </c>
      <c r="K17" s="16">
        <v>52.833333333333336</v>
      </c>
      <c r="L17" s="87">
        <f t="shared" si="1"/>
        <v>2.3419103832918124E-2</v>
      </c>
      <c r="M17" s="220">
        <f t="shared" si="2"/>
        <v>2.0965808961670818</v>
      </c>
      <c r="N17" s="220">
        <f t="shared" si="5"/>
        <v>80.373015486457021</v>
      </c>
      <c r="O17" s="88">
        <f t="shared" si="6"/>
        <v>98.9</v>
      </c>
      <c r="P17" s="20">
        <v>0.67400000000000004</v>
      </c>
      <c r="Q17" s="16">
        <v>40.69</v>
      </c>
      <c r="R17" s="96">
        <v>10</v>
      </c>
      <c r="S17" s="56">
        <f t="shared" si="3"/>
        <v>0.08</v>
      </c>
      <c r="T17" s="56">
        <f t="shared" si="7"/>
        <v>3.1</v>
      </c>
      <c r="U17" s="89">
        <f t="shared" si="8"/>
        <v>3.82</v>
      </c>
      <c r="W17" s="15"/>
    </row>
    <row r="18" spans="1:23" ht="16.5" customHeight="1">
      <c r="A18" s="22">
        <v>45986</v>
      </c>
      <c r="B18" s="7">
        <v>14</v>
      </c>
      <c r="C18" s="49">
        <v>0.20763888888888887</v>
      </c>
      <c r="D18" s="215">
        <f t="shared" si="4"/>
        <v>3.4756944444444438</v>
      </c>
      <c r="E18" s="16">
        <v>17.451063829787191</v>
      </c>
      <c r="F18" s="16">
        <v>1.1093617021276665</v>
      </c>
      <c r="G18" s="16">
        <v>46.833333333333336</v>
      </c>
      <c r="H18" s="10">
        <f t="shared" si="0"/>
        <v>0.28000000000000003</v>
      </c>
      <c r="I18" s="20">
        <v>14.374468085106368</v>
      </c>
      <c r="J18" s="90">
        <v>0.11322695035461008</v>
      </c>
      <c r="K18" s="16">
        <v>46.833333333333336</v>
      </c>
      <c r="L18" s="87">
        <f t="shared" si="1"/>
        <v>2.3375625203963597E-2</v>
      </c>
      <c r="M18" s="220">
        <f t="shared" si="2"/>
        <v>0.25662437479603645</v>
      </c>
      <c r="N18" s="220">
        <f t="shared" si="5"/>
        <v>80.629639861253054</v>
      </c>
      <c r="O18" s="88">
        <f t="shared" si="6"/>
        <v>91.65</v>
      </c>
      <c r="P18" s="20">
        <v>0.63807692307692299</v>
      </c>
      <c r="Q18" s="16">
        <v>55.88</v>
      </c>
      <c r="R18" s="96">
        <v>13</v>
      </c>
      <c r="S18" s="56">
        <f t="shared" si="3"/>
        <v>0.14000000000000001</v>
      </c>
      <c r="T18" s="56">
        <f t="shared" si="7"/>
        <v>3.24</v>
      </c>
      <c r="U18" s="89">
        <f t="shared" si="8"/>
        <v>54.55</v>
      </c>
    </row>
    <row r="19" spans="1:23" ht="21" customHeight="1">
      <c r="A19" s="22">
        <v>45987</v>
      </c>
      <c r="B19" s="7">
        <v>15</v>
      </c>
      <c r="C19" s="49">
        <v>0.21736111111111106</v>
      </c>
      <c r="D19" s="215">
        <f t="shared" si="4"/>
        <v>3.6930555555555546</v>
      </c>
      <c r="E19" s="16">
        <v>19.310638297872384</v>
      </c>
      <c r="F19" s="16">
        <v>5.0225531914893482</v>
      </c>
      <c r="G19" s="16">
        <v>47</v>
      </c>
      <c r="H19" s="10">
        <f t="shared" si="0"/>
        <v>1.4</v>
      </c>
      <c r="I19" s="20">
        <v>11.963829787234099</v>
      </c>
      <c r="J19" s="90">
        <v>0.4549999999999999</v>
      </c>
      <c r="K19" s="16">
        <v>47</v>
      </c>
      <c r="L19" s="87">
        <f t="shared" si="1"/>
        <v>7.8459593333333688E-2</v>
      </c>
      <c r="M19" s="220">
        <f t="shared" si="2"/>
        <v>1.3215404066666663</v>
      </c>
      <c r="N19" s="220">
        <f t="shared" si="5"/>
        <v>81.951180267919725</v>
      </c>
      <c r="O19" s="88">
        <f t="shared" si="6"/>
        <v>94.4</v>
      </c>
      <c r="P19" s="11">
        <v>3.56</v>
      </c>
      <c r="Q19" s="9">
        <v>91.091000000000008</v>
      </c>
      <c r="R19" s="96">
        <v>10</v>
      </c>
      <c r="S19" s="56">
        <f t="shared" si="3"/>
        <v>0.99</v>
      </c>
      <c r="T19" s="56">
        <f t="shared" si="7"/>
        <v>4.2300000000000004</v>
      </c>
      <c r="U19" s="89">
        <f t="shared" si="8"/>
        <v>74.91</v>
      </c>
    </row>
    <row r="20" spans="1:23" ht="16.5" customHeight="1">
      <c r="A20" s="22">
        <v>45989</v>
      </c>
      <c r="B20" s="7">
        <v>16</v>
      </c>
      <c r="C20" s="49">
        <v>0.20555555555555555</v>
      </c>
      <c r="D20" s="215">
        <f t="shared" si="4"/>
        <v>3.8986111111111104</v>
      </c>
      <c r="E20" s="16">
        <v>22.513636363636341</v>
      </c>
      <c r="F20" s="16">
        <v>6.5029924242424659</v>
      </c>
      <c r="G20" s="16">
        <v>44</v>
      </c>
      <c r="H20" s="10">
        <f t="shared" si="0"/>
        <v>1.98</v>
      </c>
      <c r="I20" s="20">
        <v>14.773484848484889</v>
      </c>
      <c r="J20" s="90">
        <v>0.10409090909090922</v>
      </c>
      <c r="K20" s="16">
        <v>44</v>
      </c>
      <c r="L20" s="87">
        <f t="shared" si="1"/>
        <v>2.0749851919192003E-2</v>
      </c>
      <c r="M20" s="220">
        <f t="shared" si="2"/>
        <v>1.959250148080808</v>
      </c>
      <c r="N20" s="220">
        <f t="shared" si="5"/>
        <v>83.910430416000537</v>
      </c>
      <c r="O20" s="88">
        <f t="shared" si="6"/>
        <v>98.95</v>
      </c>
      <c r="P20" s="11">
        <v>3.6800000000000006</v>
      </c>
      <c r="Q20" s="90">
        <v>89.460999999999999</v>
      </c>
      <c r="R20" s="96">
        <v>10</v>
      </c>
      <c r="S20" s="56">
        <f t="shared" si="3"/>
        <v>1.01</v>
      </c>
      <c r="T20" s="56">
        <f t="shared" si="7"/>
        <v>5.24</v>
      </c>
      <c r="U20" s="89">
        <f t="shared" si="8"/>
        <v>51.55</v>
      </c>
    </row>
    <row r="21" spans="1:23" ht="16.5" customHeight="1">
      <c r="A21" s="22">
        <v>45994</v>
      </c>
      <c r="B21" s="7">
        <v>17</v>
      </c>
      <c r="C21" s="49">
        <v>0.21111111111111114</v>
      </c>
      <c r="D21" s="215">
        <f t="shared" si="4"/>
        <v>4.1097222222222216</v>
      </c>
      <c r="E21" s="16">
        <v>22.390697674418721</v>
      </c>
      <c r="F21" s="16">
        <v>12.370697674418622</v>
      </c>
      <c r="G21" s="20">
        <v>43</v>
      </c>
      <c r="H21" s="10">
        <f t="shared" si="0"/>
        <v>3.65</v>
      </c>
      <c r="I21" s="20">
        <v>11.906976744186036</v>
      </c>
      <c r="J21" s="90">
        <v>7.0697674418604653E-2</v>
      </c>
      <c r="K21" s="16">
        <v>43</v>
      </c>
      <c r="L21" s="87">
        <f t="shared" si="1"/>
        <v>1.1100477519379835E-2</v>
      </c>
      <c r="M21" s="220">
        <f t="shared" si="2"/>
        <v>3.63889952248062</v>
      </c>
      <c r="N21" s="220">
        <f t="shared" si="5"/>
        <v>87.549329938481151</v>
      </c>
      <c r="O21" s="88">
        <f t="shared" si="6"/>
        <v>99.7</v>
      </c>
      <c r="P21" s="20">
        <v>3.8444444444444446</v>
      </c>
      <c r="Q21" s="90">
        <v>64.495555555555555</v>
      </c>
      <c r="R21" s="96">
        <v>9</v>
      </c>
      <c r="S21" s="56">
        <f t="shared" si="3"/>
        <v>0.68</v>
      </c>
      <c r="T21" s="56">
        <f t="shared" si="7"/>
        <v>5.92</v>
      </c>
      <c r="U21" s="89">
        <f t="shared" si="8"/>
        <v>18.690000000000001</v>
      </c>
    </row>
    <row r="22" spans="1:23" ht="16.5" customHeight="1">
      <c r="A22" s="22">
        <v>45995</v>
      </c>
      <c r="B22" s="7">
        <v>18</v>
      </c>
      <c r="C22" s="49">
        <v>0.22500000000000003</v>
      </c>
      <c r="D22" s="215">
        <f t="shared" si="4"/>
        <v>4.3347222222222213</v>
      </c>
      <c r="E22" s="16">
        <v>26.196875000000208</v>
      </c>
      <c r="F22" s="16">
        <v>11.61625000000002</v>
      </c>
      <c r="G22" s="16">
        <v>64</v>
      </c>
      <c r="H22" s="10">
        <f t="shared" si="0"/>
        <v>5.97</v>
      </c>
      <c r="I22" s="20">
        <v>9.90625</v>
      </c>
      <c r="J22" s="90">
        <v>6.0156249999999967E-2</v>
      </c>
      <c r="K22" s="16">
        <v>64</v>
      </c>
      <c r="L22" s="87">
        <f t="shared" si="1"/>
        <v>1.1695979166666662E-2</v>
      </c>
      <c r="M22" s="220">
        <f t="shared" si="2"/>
        <v>5.9583040208333333</v>
      </c>
      <c r="N22" s="220">
        <f t="shared" si="5"/>
        <v>93.507633959314489</v>
      </c>
      <c r="O22" s="88">
        <f t="shared" si="6"/>
        <v>99.8</v>
      </c>
      <c r="P22" s="20">
        <v>3.0583333333333336</v>
      </c>
      <c r="Q22" s="90">
        <v>63.958333333333336</v>
      </c>
      <c r="R22" s="96">
        <v>12</v>
      </c>
      <c r="S22" s="56">
        <f t="shared" si="3"/>
        <v>0.72</v>
      </c>
      <c r="T22" s="56">
        <f t="shared" si="7"/>
        <v>6.64</v>
      </c>
      <c r="U22" s="89">
        <f t="shared" si="8"/>
        <v>12.08</v>
      </c>
    </row>
    <row r="23" spans="1:23" ht="16.5" customHeight="1">
      <c r="A23" s="22">
        <v>45999</v>
      </c>
      <c r="B23" s="7">
        <v>19</v>
      </c>
      <c r="C23" s="49">
        <v>0.21180555555555558</v>
      </c>
      <c r="D23" s="215">
        <f t="shared" si="4"/>
        <v>4.5465277777777766</v>
      </c>
      <c r="E23" s="16">
        <v>28.186363636363719</v>
      </c>
      <c r="F23" s="16">
        <v>11.990454545454499</v>
      </c>
      <c r="G23" s="16">
        <v>44</v>
      </c>
      <c r="H23" s="10">
        <f t="shared" si="0"/>
        <v>4.5599999999999996</v>
      </c>
      <c r="I23" s="20">
        <v>12.863636363636363</v>
      </c>
      <c r="J23" s="90">
        <v>8.1136363636363604E-2</v>
      </c>
      <c r="K23" s="16">
        <v>44</v>
      </c>
      <c r="L23" s="87">
        <f t="shared" si="1"/>
        <v>1.4083109090909082E-2</v>
      </c>
      <c r="M23" s="220">
        <f t="shared" si="2"/>
        <v>4.5459168909090906</v>
      </c>
      <c r="N23" s="220">
        <f t="shared" si="5"/>
        <v>98.053550850223587</v>
      </c>
      <c r="O23" s="88">
        <f t="shared" si="6"/>
        <v>99.69</v>
      </c>
      <c r="P23" s="11">
        <v>2.16</v>
      </c>
      <c r="Q23" s="9">
        <v>92.3</v>
      </c>
      <c r="R23" s="96">
        <v>12</v>
      </c>
      <c r="S23" s="56">
        <f t="shared" si="3"/>
        <v>0.73</v>
      </c>
      <c r="T23" s="56">
        <f t="shared" si="7"/>
        <v>7.3699999999999992</v>
      </c>
      <c r="U23" s="89">
        <f t="shared" si="8"/>
        <v>16.059999999999999</v>
      </c>
    </row>
    <row r="24" spans="1:23" ht="16.5" customHeight="1">
      <c r="A24" s="22">
        <v>46000</v>
      </c>
      <c r="B24" s="7">
        <v>20</v>
      </c>
      <c r="C24" s="49">
        <v>0.21249999999999997</v>
      </c>
      <c r="D24" s="215">
        <f t="shared" si="4"/>
        <v>4.759027777777777</v>
      </c>
      <c r="E24" s="16">
        <v>28.363829787233971</v>
      </c>
      <c r="F24" s="16">
        <v>12.268936170212752</v>
      </c>
      <c r="G24" s="16">
        <v>47</v>
      </c>
      <c r="H24" s="10">
        <f t="shared" si="0"/>
        <v>5.0199999999999996</v>
      </c>
      <c r="I24" s="20">
        <v>13.212765957446809</v>
      </c>
      <c r="J24" s="90">
        <v>6.3404255319148936E-2</v>
      </c>
      <c r="K24" s="16">
        <v>47</v>
      </c>
      <c r="L24" s="87">
        <f t="shared" si="1"/>
        <v>1.2074706382978724E-2</v>
      </c>
      <c r="M24" s="220">
        <f t="shared" si="2"/>
        <v>5.0079252936170207</v>
      </c>
      <c r="N24" s="220">
        <f t="shared" si="5"/>
        <v>103.06147614384061</v>
      </c>
      <c r="O24" s="88">
        <f t="shared" si="6"/>
        <v>99.76</v>
      </c>
      <c r="P24" s="20">
        <v>2.6</v>
      </c>
      <c r="Q24" s="90">
        <v>94.497500000000002</v>
      </c>
      <c r="R24" s="96">
        <v>8</v>
      </c>
      <c r="S24" s="56">
        <f t="shared" si="3"/>
        <v>0.6</v>
      </c>
      <c r="T24" s="56">
        <f t="shared" si="7"/>
        <v>7.9699999999999989</v>
      </c>
      <c r="U24" s="89">
        <f t="shared" si="8"/>
        <v>11.98</v>
      </c>
    </row>
    <row r="25" spans="1:23" ht="16.5" customHeight="1">
      <c r="A25" s="22">
        <v>46002</v>
      </c>
      <c r="B25" s="7">
        <v>21</v>
      </c>
      <c r="C25" s="49">
        <v>0.21180555555555552</v>
      </c>
      <c r="D25" s="215">
        <f t="shared" si="4"/>
        <v>4.9708333333333323</v>
      </c>
      <c r="E25" s="16">
        <v>24.503333333333259</v>
      </c>
      <c r="F25" s="16">
        <v>12.6916666666667</v>
      </c>
      <c r="G25" s="16">
        <v>60</v>
      </c>
      <c r="H25" s="10">
        <f t="shared" si="0"/>
        <v>5.72</v>
      </c>
      <c r="I25" s="20">
        <v>10</v>
      </c>
      <c r="J25" s="90">
        <v>4.9500000000000002E-2</v>
      </c>
      <c r="K25" s="16">
        <v>60</v>
      </c>
      <c r="L25" s="87">
        <f t="shared" si="1"/>
        <v>9.1080000000000015E-3</v>
      </c>
      <c r="M25" s="220">
        <f t="shared" si="2"/>
        <v>5.7108919999999994</v>
      </c>
      <c r="N25" s="220">
        <f t="shared" si="5"/>
        <v>108.77236814384061</v>
      </c>
      <c r="O25" s="88">
        <f t="shared" si="6"/>
        <v>99.84</v>
      </c>
      <c r="P25" s="20">
        <v>2.8111111111111109</v>
      </c>
      <c r="Q25" s="90">
        <v>100</v>
      </c>
      <c r="R25" s="96">
        <v>9</v>
      </c>
      <c r="S25" s="56">
        <f t="shared" si="3"/>
        <v>0.78</v>
      </c>
      <c r="T25" s="56">
        <f t="shared" si="7"/>
        <v>8.7499999999999982</v>
      </c>
      <c r="U25" s="89">
        <f t="shared" si="8"/>
        <v>13.66</v>
      </c>
    </row>
    <row r="26" spans="1:23" ht="16.5" customHeight="1">
      <c r="A26" s="22">
        <v>46003</v>
      </c>
      <c r="B26" s="7">
        <v>22</v>
      </c>
      <c r="C26" s="49">
        <v>0.21527777777777773</v>
      </c>
      <c r="D26" s="215">
        <f t="shared" si="4"/>
        <v>5.18611111111111</v>
      </c>
      <c r="E26" s="16">
        <v>23.93333333333328</v>
      </c>
      <c r="F26" s="16">
        <v>12.409473684210559</v>
      </c>
      <c r="G26" s="16">
        <v>57</v>
      </c>
      <c r="H26" s="10">
        <f t="shared" si="0"/>
        <v>5.19</v>
      </c>
      <c r="I26" s="20">
        <v>11.350877192982455</v>
      </c>
      <c r="J26" s="16">
        <v>6.10526315789474E-2</v>
      </c>
      <c r="K26" s="16">
        <v>57</v>
      </c>
      <c r="L26" s="87">
        <f t="shared" si="1"/>
        <v>1.2113656140350884E-2</v>
      </c>
      <c r="M26" s="220">
        <f t="shared" si="2"/>
        <v>5.1778863438596492</v>
      </c>
      <c r="N26" s="220">
        <f t="shared" si="5"/>
        <v>113.95025448770026</v>
      </c>
      <c r="O26" s="88">
        <f t="shared" si="6"/>
        <v>99.77</v>
      </c>
      <c r="P26" s="20">
        <v>3.2124999999999995</v>
      </c>
      <c r="Q26" s="90">
        <v>97.483750000000001</v>
      </c>
      <c r="R26" s="96">
        <v>8</v>
      </c>
      <c r="S26" s="56">
        <f t="shared" si="3"/>
        <v>0.77</v>
      </c>
      <c r="T26" s="56">
        <f t="shared" si="7"/>
        <v>9.5199999999999978</v>
      </c>
      <c r="U26" s="89">
        <f t="shared" si="8"/>
        <v>14.87</v>
      </c>
    </row>
    <row r="27" spans="1:23" ht="16.5" customHeight="1">
      <c r="A27" s="22">
        <v>46006</v>
      </c>
      <c r="B27" s="7">
        <v>23</v>
      </c>
      <c r="C27" s="49">
        <v>0.21666666666666662</v>
      </c>
      <c r="D27" s="215">
        <f t="shared" si="4"/>
        <v>5.4027777777777768</v>
      </c>
      <c r="E27" s="16">
        <v>27.126415094339613</v>
      </c>
      <c r="F27" s="16">
        <v>12.34641509433961</v>
      </c>
      <c r="G27" s="16">
        <v>53</v>
      </c>
      <c r="H27" s="10">
        <f t="shared" si="0"/>
        <v>5.44</v>
      </c>
      <c r="I27" s="20">
        <v>12.339622641509434</v>
      </c>
      <c r="J27" s="16">
        <v>8.4528301886792431E-2</v>
      </c>
      <c r="K27" s="16">
        <v>53</v>
      </c>
      <c r="L27" s="87">
        <f t="shared" si="1"/>
        <v>1.6952996226415093E-2</v>
      </c>
      <c r="M27" s="220">
        <f t="shared" si="2"/>
        <v>5.4230470037735854</v>
      </c>
      <c r="N27" s="220">
        <f t="shared" si="5"/>
        <v>119.37330149147385</v>
      </c>
      <c r="O27" s="88">
        <f t="shared" si="6"/>
        <v>99.69</v>
      </c>
      <c r="P27" s="20">
        <v>3.371428571428571</v>
      </c>
      <c r="Q27" s="90">
        <v>97.357142857142861</v>
      </c>
      <c r="R27" s="96">
        <v>7</v>
      </c>
      <c r="S27" s="56">
        <f t="shared" si="3"/>
        <v>0.7</v>
      </c>
      <c r="T27" s="56">
        <f t="shared" si="7"/>
        <v>10.219999999999997</v>
      </c>
      <c r="U27" s="89">
        <f t="shared" si="8"/>
        <v>12.91</v>
      </c>
    </row>
    <row r="28" spans="1:23" ht="16.5" customHeight="1">
      <c r="A28" s="22">
        <v>46007</v>
      </c>
      <c r="B28" s="7">
        <v>24</v>
      </c>
      <c r="C28" s="49">
        <v>0.22222222222222227</v>
      </c>
      <c r="D28" s="215">
        <f t="shared" si="4"/>
        <v>5.6249999999999991</v>
      </c>
      <c r="E28" s="16">
        <v>25.016393442622906</v>
      </c>
      <c r="F28" s="16">
        <v>11.49393442622946</v>
      </c>
      <c r="G28" s="16">
        <v>61</v>
      </c>
      <c r="H28" s="10">
        <f t="shared" si="0"/>
        <v>5.38</v>
      </c>
      <c r="I28" s="20">
        <v>10.229508196721312</v>
      </c>
      <c r="J28" s="16">
        <v>5.1475409836065585E-2</v>
      </c>
      <c r="K28" s="16">
        <v>61</v>
      </c>
      <c r="L28" s="87">
        <f t="shared" si="1"/>
        <v>9.8503344262295105E-3</v>
      </c>
      <c r="M28" s="220">
        <f t="shared" si="2"/>
        <v>5.3701496655737708</v>
      </c>
      <c r="N28" s="220">
        <f t="shared" si="5"/>
        <v>124.74345115704763</v>
      </c>
      <c r="O28" s="88">
        <f t="shared" si="6"/>
        <v>99.82</v>
      </c>
      <c r="P28" s="20">
        <v>2.9333333333333327</v>
      </c>
      <c r="Q28" s="90">
        <v>100</v>
      </c>
      <c r="R28" s="96">
        <v>9</v>
      </c>
      <c r="S28" s="56">
        <f t="shared" si="3"/>
        <v>0.81</v>
      </c>
      <c r="T28" s="56">
        <f t="shared" si="7"/>
        <v>11.029999999999998</v>
      </c>
      <c r="U28" s="89">
        <f t="shared" si="8"/>
        <v>15.08</v>
      </c>
    </row>
    <row r="29" spans="1:23" ht="16.5" customHeight="1">
      <c r="A29" s="22">
        <v>46008</v>
      </c>
      <c r="B29" s="7">
        <v>25</v>
      </c>
      <c r="C29" s="49">
        <v>0.21875</v>
      </c>
      <c r="D29" s="215">
        <f t="shared" si="4"/>
        <v>5.8437499999999991</v>
      </c>
      <c r="E29" s="16">
        <v>29.268888888888721</v>
      </c>
      <c r="F29" s="16">
        <v>12.741111111111087</v>
      </c>
      <c r="G29" s="16">
        <v>45</v>
      </c>
      <c r="H29" s="10">
        <f t="shared" si="0"/>
        <v>5.15</v>
      </c>
      <c r="I29" s="20">
        <v>11.777777777777779</v>
      </c>
      <c r="J29" s="16">
        <v>3.1111111111111114E-2</v>
      </c>
      <c r="K29" s="16">
        <v>45</v>
      </c>
      <c r="L29" s="87">
        <f t="shared" si="1"/>
        <v>5.0565925925925952E-3</v>
      </c>
      <c r="M29" s="220">
        <f t="shared" si="2"/>
        <v>5.1449434074074079</v>
      </c>
      <c r="N29" s="220">
        <f t="shared" si="5"/>
        <v>129.88839456445504</v>
      </c>
      <c r="O29" s="88">
        <f t="shared" si="6"/>
        <v>99.9</v>
      </c>
      <c r="P29" s="20">
        <v>3.1899999999999995</v>
      </c>
      <c r="Q29" s="90">
        <v>99.484000000000009</v>
      </c>
      <c r="R29" s="96">
        <v>10</v>
      </c>
      <c r="S29" s="56">
        <f t="shared" si="3"/>
        <v>0.97</v>
      </c>
      <c r="T29" s="56">
        <f t="shared" si="7"/>
        <v>11.999999999999998</v>
      </c>
      <c r="U29" s="89">
        <f t="shared" si="8"/>
        <v>18.850000000000001</v>
      </c>
    </row>
    <row r="30" spans="1:23" ht="16.5" customHeight="1">
      <c r="A30" s="22">
        <v>46009</v>
      </c>
      <c r="B30" s="7">
        <v>26</v>
      </c>
      <c r="C30" s="49">
        <v>0.28750000000000003</v>
      </c>
      <c r="D30" s="215">
        <f t="shared" si="4"/>
        <v>6.1312499999999988</v>
      </c>
      <c r="E30" s="16">
        <v>22.75</v>
      </c>
      <c r="F30" s="16">
        <v>19.550000000000086</v>
      </c>
      <c r="G30" s="16">
        <v>40</v>
      </c>
      <c r="H30" s="10">
        <f t="shared" si="0"/>
        <v>5.46</v>
      </c>
      <c r="I30" s="20">
        <v>15.25</v>
      </c>
      <c r="J30" s="16">
        <v>0.31949999999999867</v>
      </c>
      <c r="K30" s="16">
        <v>40</v>
      </c>
      <c r="L30" s="87">
        <f t="shared" si="1"/>
        <v>5.9767799999999753E-2</v>
      </c>
      <c r="M30" s="220">
        <f t="shared" si="2"/>
        <v>5.4002322000000005</v>
      </c>
      <c r="N30" s="220">
        <f t="shared" si="5"/>
        <v>135.28862676445505</v>
      </c>
      <c r="O30" s="88">
        <f t="shared" si="6"/>
        <v>98.91</v>
      </c>
      <c r="P30" s="20">
        <v>3.3</v>
      </c>
      <c r="Q30" s="90">
        <v>77.059999999999988</v>
      </c>
      <c r="R30" s="96">
        <v>10</v>
      </c>
      <c r="S30" s="56">
        <f t="shared" si="3"/>
        <v>0.78</v>
      </c>
      <c r="T30" s="56">
        <f t="shared" si="7"/>
        <v>12.779999999999998</v>
      </c>
      <c r="U30" s="89">
        <f t="shared" si="8"/>
        <v>14.44</v>
      </c>
    </row>
    <row r="31" spans="1:23" ht="16.5" customHeight="1">
      <c r="A31" s="22">
        <v>46013</v>
      </c>
      <c r="B31" s="7">
        <v>27</v>
      </c>
      <c r="C31" s="49">
        <v>0.21180555555555552</v>
      </c>
      <c r="D31" s="215">
        <f t="shared" si="4"/>
        <v>6.3430555555555541</v>
      </c>
      <c r="E31" s="16">
        <v>24.019047619047647</v>
      </c>
      <c r="F31" s="16">
        <v>11.687619047618997</v>
      </c>
      <c r="G31" s="16">
        <v>42</v>
      </c>
      <c r="H31" s="10">
        <f t="shared" si="0"/>
        <v>3.62</v>
      </c>
      <c r="I31" s="20">
        <v>12.047619047619047</v>
      </c>
      <c r="J31" s="16">
        <v>8.3095238095238111E-2</v>
      </c>
      <c r="K31" s="16">
        <v>42</v>
      </c>
      <c r="L31" s="87">
        <f t="shared" si="1"/>
        <v>1.2894165079365083E-2</v>
      </c>
      <c r="M31" s="220">
        <f t="shared" si="2"/>
        <v>3.6071058349206351</v>
      </c>
      <c r="N31" s="220">
        <f t="shared" si="5"/>
        <v>138.89573259937569</v>
      </c>
      <c r="O31" s="88">
        <f t="shared" si="6"/>
        <v>99.64</v>
      </c>
      <c r="P31" s="20">
        <v>3.5999999999999996</v>
      </c>
      <c r="Q31" s="90">
        <v>100</v>
      </c>
      <c r="R31" s="96">
        <v>6</v>
      </c>
      <c r="S31" s="56">
        <f t="shared" si="3"/>
        <v>0.66</v>
      </c>
      <c r="T31" s="56">
        <f t="shared" si="7"/>
        <v>13.439999999999998</v>
      </c>
      <c r="U31" s="89">
        <f t="shared" si="8"/>
        <v>18.3</v>
      </c>
    </row>
    <row r="32" spans="1:23" ht="18">
      <c r="A32" s="22">
        <v>46014</v>
      </c>
      <c r="B32" s="7">
        <v>28</v>
      </c>
      <c r="C32" s="49">
        <v>0.22013888888888894</v>
      </c>
      <c r="D32" s="215">
        <f t="shared" si="4"/>
        <v>6.5631944444444432</v>
      </c>
      <c r="E32" s="16">
        <v>26.12679738562084</v>
      </c>
      <c r="F32" s="16">
        <v>12.154803921568615</v>
      </c>
      <c r="G32" s="16">
        <v>51</v>
      </c>
      <c r="H32" s="10">
        <f t="shared" si="0"/>
        <v>4.97</v>
      </c>
      <c r="I32" s="20">
        <v>11.029411764705882</v>
      </c>
      <c r="J32" s="16">
        <v>7.4705882352941205E-2</v>
      </c>
      <c r="K32" s="16">
        <v>51</v>
      </c>
      <c r="L32" s="87">
        <f t="shared" si="1"/>
        <v>1.288676470588236E-2</v>
      </c>
      <c r="M32" s="220">
        <f t="shared" si="2"/>
        <v>4.9571132352941172</v>
      </c>
      <c r="N32" s="220">
        <f t="shared" si="5"/>
        <v>143.85284583466981</v>
      </c>
      <c r="O32" s="88">
        <f t="shared" si="6"/>
        <v>99.74</v>
      </c>
      <c r="P32" s="20">
        <v>3.1444444444444439</v>
      </c>
      <c r="Q32" s="90">
        <v>100</v>
      </c>
      <c r="R32" s="96">
        <v>9</v>
      </c>
      <c r="S32" s="56">
        <f t="shared" si="3"/>
        <v>0.87</v>
      </c>
      <c r="T32" s="56">
        <f t="shared" si="7"/>
        <v>14.309999999999997</v>
      </c>
      <c r="U32" s="89">
        <f t="shared" si="8"/>
        <v>17.55</v>
      </c>
    </row>
    <row r="33" spans="1:23" ht="16.5" customHeight="1">
      <c r="A33" s="22">
        <v>46015</v>
      </c>
      <c r="B33" s="7">
        <v>29</v>
      </c>
      <c r="C33" s="49">
        <v>0.21388888888888885</v>
      </c>
      <c r="D33" s="215">
        <f t="shared" si="4"/>
        <v>6.7770833333333318</v>
      </c>
      <c r="E33" s="99">
        <v>12.840000000000003</v>
      </c>
      <c r="F33" s="99">
        <v>11.806666666666679</v>
      </c>
      <c r="G33" s="99">
        <v>30</v>
      </c>
      <c r="H33" s="10">
        <f t="shared" si="0"/>
        <v>1.39</v>
      </c>
      <c r="I33" s="100">
        <v>13.866666666666667</v>
      </c>
      <c r="J33" s="99">
        <v>0</v>
      </c>
      <c r="K33" s="99">
        <v>30</v>
      </c>
      <c r="L33" s="87">
        <f t="shared" si="1"/>
        <v>0</v>
      </c>
      <c r="M33" s="220">
        <f t="shared" si="2"/>
        <v>1.39</v>
      </c>
      <c r="N33" s="220">
        <f t="shared" si="5"/>
        <v>145.24284583466979</v>
      </c>
      <c r="O33" s="88">
        <f t="shared" si="6"/>
        <v>100</v>
      </c>
      <c r="P33" s="100">
        <v>3.8199999999999994</v>
      </c>
      <c r="Q33" s="101">
        <v>98.918000000000006</v>
      </c>
      <c r="R33" s="68">
        <v>5</v>
      </c>
      <c r="S33" s="56">
        <f t="shared" si="3"/>
        <v>0.57999999999999996</v>
      </c>
      <c r="T33" s="56">
        <f t="shared" si="7"/>
        <v>14.889999999999997</v>
      </c>
      <c r="U33" s="89">
        <f t="shared" si="8"/>
        <v>41.73</v>
      </c>
    </row>
    <row r="34" spans="1:23" ht="16.5" customHeight="1">
      <c r="A34" s="22">
        <v>46016</v>
      </c>
      <c r="B34" s="7">
        <v>30</v>
      </c>
      <c r="C34" s="49">
        <v>0.25208333333333338</v>
      </c>
      <c r="D34" s="215">
        <f t="shared" si="4"/>
        <v>7.029166666666665</v>
      </c>
      <c r="E34" s="16">
        <v>23.085714285714189</v>
      </c>
      <c r="F34" s="16">
        <v>12.534285714285719</v>
      </c>
      <c r="G34" s="16">
        <v>49</v>
      </c>
      <c r="H34" s="10">
        <f t="shared" si="0"/>
        <v>4.3499999999999996</v>
      </c>
      <c r="I34" s="16">
        <v>11.775510204081632</v>
      </c>
      <c r="J34" s="16">
        <v>8.2448979591836738E-2</v>
      </c>
      <c r="K34" s="16">
        <v>49</v>
      </c>
      <c r="L34" s="87">
        <f t="shared" si="1"/>
        <v>1.458907210884354E-2</v>
      </c>
      <c r="M34" s="220">
        <f t="shared" si="2"/>
        <v>4.3354109278911563</v>
      </c>
      <c r="N34" s="220">
        <f t="shared" si="5"/>
        <v>149.57825676256095</v>
      </c>
      <c r="O34" s="88">
        <f t="shared" si="6"/>
        <v>99.66</v>
      </c>
      <c r="P34" s="16">
        <v>4.12</v>
      </c>
      <c r="Q34" s="90">
        <v>100</v>
      </c>
      <c r="R34" s="96">
        <v>5</v>
      </c>
      <c r="S34" s="56">
        <f t="shared" si="3"/>
        <v>0.63</v>
      </c>
      <c r="T34" s="56">
        <f t="shared" si="7"/>
        <v>15.519999999999998</v>
      </c>
      <c r="U34" s="89">
        <f t="shared" si="8"/>
        <v>14.53</v>
      </c>
    </row>
    <row r="35" spans="1:23" ht="16.5" customHeight="1">
      <c r="A35" s="22">
        <v>46017</v>
      </c>
      <c r="B35" s="7">
        <v>31</v>
      </c>
      <c r="C35" s="49">
        <v>0.2097222222222222</v>
      </c>
      <c r="D35" s="215">
        <f t="shared" si="4"/>
        <v>7.2388888888888872</v>
      </c>
      <c r="E35" s="16">
        <v>25.476470588235301</v>
      </c>
      <c r="F35" s="16">
        <v>13.075937500000004</v>
      </c>
      <c r="G35" s="16">
        <v>34</v>
      </c>
      <c r="H35" s="10">
        <f t="shared" si="0"/>
        <v>3.47</v>
      </c>
      <c r="I35" s="20">
        <v>12.443749999999994</v>
      </c>
      <c r="J35" s="16">
        <v>1.9375E-2</v>
      </c>
      <c r="K35" s="16">
        <v>34</v>
      </c>
      <c r="L35" s="87">
        <f t="shared" si="1"/>
        <v>2.5138448958333319E-3</v>
      </c>
      <c r="M35" s="220">
        <f t="shared" si="2"/>
        <v>3.4674861551041669</v>
      </c>
      <c r="N35" s="220">
        <f t="shared" si="5"/>
        <v>153.04574291766511</v>
      </c>
      <c r="O35" s="88">
        <f t="shared" si="6"/>
        <v>99.93</v>
      </c>
      <c r="P35" s="20">
        <v>5</v>
      </c>
      <c r="Q35" s="90">
        <v>100</v>
      </c>
      <c r="R35" s="96">
        <v>2</v>
      </c>
      <c r="S35" s="56">
        <f t="shared" si="3"/>
        <v>0.31</v>
      </c>
      <c r="T35" s="56">
        <f t="shared" si="7"/>
        <v>15.829999999999998</v>
      </c>
      <c r="U35" s="89">
        <f t="shared" si="8"/>
        <v>8.94</v>
      </c>
    </row>
    <row r="36" spans="1:23" ht="16.5" customHeight="1">
      <c r="A36" s="22">
        <v>46027</v>
      </c>
      <c r="B36" s="7">
        <v>32</v>
      </c>
      <c r="C36" s="49">
        <v>0.21388888888888891</v>
      </c>
      <c r="D36" s="215">
        <f t="shared" si="4"/>
        <v>7.4527777777777757</v>
      </c>
      <c r="E36" s="16">
        <v>22.956666666666731</v>
      </c>
      <c r="F36" s="16">
        <v>13.086666666666673</v>
      </c>
      <c r="G36" s="16">
        <v>30</v>
      </c>
      <c r="H36" s="10">
        <f t="shared" si="0"/>
        <v>2.76</v>
      </c>
      <c r="I36" s="20">
        <v>12</v>
      </c>
      <c r="J36" s="16">
        <v>0.11</v>
      </c>
      <c r="K36" s="16">
        <v>30</v>
      </c>
      <c r="L36" s="87">
        <f t="shared" si="1"/>
        <v>1.2144000000000002E-2</v>
      </c>
      <c r="M36" s="220">
        <f t="shared" si="2"/>
        <v>2.7478559999999996</v>
      </c>
      <c r="N36" s="220">
        <f t="shared" si="5"/>
        <v>155.79359891766512</v>
      </c>
      <c r="O36" s="88">
        <f t="shared" si="6"/>
        <v>99.56</v>
      </c>
      <c r="P36" s="20">
        <v>2.88</v>
      </c>
      <c r="Q36" s="90">
        <v>100</v>
      </c>
      <c r="R36" s="96">
        <v>5</v>
      </c>
      <c r="S36" s="56">
        <f t="shared" si="3"/>
        <v>0.44</v>
      </c>
      <c r="T36" s="56">
        <f t="shared" si="7"/>
        <v>16.27</v>
      </c>
      <c r="U36" s="89">
        <f t="shared" si="8"/>
        <v>16.010000000000002</v>
      </c>
    </row>
    <row r="37" spans="1:23" ht="16.5" customHeight="1">
      <c r="A37" s="22">
        <v>46028</v>
      </c>
      <c r="B37" s="7">
        <v>33</v>
      </c>
      <c r="C37" s="49">
        <v>0.25138888888888883</v>
      </c>
      <c r="D37" s="215">
        <f t="shared" si="4"/>
        <v>7.7041666666666648</v>
      </c>
      <c r="E37" s="16">
        <v>20.306896551724073</v>
      </c>
      <c r="F37" s="16">
        <v>12.893793103448248</v>
      </c>
      <c r="G37" s="16">
        <v>29</v>
      </c>
      <c r="H37" s="10">
        <f t="shared" si="0"/>
        <v>2.33</v>
      </c>
      <c r="I37" s="20">
        <v>12.310344827586201</v>
      </c>
      <c r="J37" s="16">
        <v>0.12655172413793106</v>
      </c>
      <c r="K37" s="16">
        <v>29</v>
      </c>
      <c r="L37" s="87">
        <f t="shared" si="1"/>
        <v>1.3854882758620688E-2</v>
      </c>
      <c r="M37" s="220">
        <f t="shared" si="2"/>
        <v>2.3161451172413794</v>
      </c>
      <c r="N37" s="220">
        <f t="shared" si="5"/>
        <v>158.1097440349065</v>
      </c>
      <c r="O37" s="88">
        <f t="shared" si="6"/>
        <v>99.41</v>
      </c>
      <c r="P37" s="20">
        <v>3.2714285714285714</v>
      </c>
      <c r="Q37" s="90">
        <v>100</v>
      </c>
      <c r="R37" s="96">
        <v>7</v>
      </c>
      <c r="S37" s="56">
        <f t="shared" si="3"/>
        <v>0.7</v>
      </c>
      <c r="T37" s="56">
        <f t="shared" si="7"/>
        <v>16.97</v>
      </c>
      <c r="U37" s="89">
        <f t="shared" si="8"/>
        <v>30.22</v>
      </c>
    </row>
    <row r="38" spans="1:23" ht="16.5" customHeight="1">
      <c r="A38" s="22">
        <v>46029</v>
      </c>
      <c r="B38" s="7">
        <v>34</v>
      </c>
      <c r="C38" s="49">
        <v>0.23750000000000004</v>
      </c>
      <c r="D38" s="215">
        <f t="shared" si="4"/>
        <v>7.9416666666666647</v>
      </c>
      <c r="E38" s="16">
        <v>16.394117647058795</v>
      </c>
      <c r="F38" s="16">
        <v>9.9641176470588224</v>
      </c>
      <c r="G38" s="16">
        <v>17</v>
      </c>
      <c r="H38" s="10">
        <f t="shared" si="0"/>
        <v>0.85</v>
      </c>
      <c r="I38" s="20">
        <v>15</v>
      </c>
      <c r="J38" s="16">
        <v>0.10588235294117648</v>
      </c>
      <c r="K38" s="16">
        <v>17</v>
      </c>
      <c r="L38" s="87">
        <f t="shared" si="1"/>
        <v>8.2800000000000009E-3</v>
      </c>
      <c r="M38" s="220">
        <f t="shared" si="2"/>
        <v>0.84172000000000002</v>
      </c>
      <c r="N38" s="220">
        <f t="shared" si="5"/>
        <v>158.95146403490651</v>
      </c>
      <c r="O38" s="88">
        <f t="shared" si="6"/>
        <v>99.03</v>
      </c>
      <c r="P38" s="20">
        <v>3.8571428571428572</v>
      </c>
      <c r="Q38" s="90">
        <v>100</v>
      </c>
      <c r="R38" s="96">
        <v>7</v>
      </c>
      <c r="S38" s="56">
        <f t="shared" si="3"/>
        <v>0.83</v>
      </c>
      <c r="T38" s="56">
        <f t="shared" si="7"/>
        <v>17.799999999999997</v>
      </c>
      <c r="U38" s="89">
        <f t="shared" si="8"/>
        <v>98.61</v>
      </c>
    </row>
    <row r="39" spans="1:23" ht="16.5" customHeight="1">
      <c r="A39" s="22">
        <v>46030</v>
      </c>
      <c r="B39" s="7">
        <v>35</v>
      </c>
      <c r="C39" s="49">
        <v>0.18958333333333338</v>
      </c>
      <c r="D39" s="215">
        <f t="shared" si="4"/>
        <v>8.1312499999999979</v>
      </c>
      <c r="E39" s="16">
        <v>15.941176470588244</v>
      </c>
      <c r="F39" s="16">
        <v>12.476470588235308</v>
      </c>
      <c r="G39" s="16">
        <v>17</v>
      </c>
      <c r="H39" s="10">
        <f t="shared" si="0"/>
        <v>1.04</v>
      </c>
      <c r="I39" s="20">
        <v>16</v>
      </c>
      <c r="J39" s="16">
        <v>0.13</v>
      </c>
      <c r="K39" s="16">
        <v>17</v>
      </c>
      <c r="L39" s="87">
        <f t="shared" si="1"/>
        <v>1.0843733333333334E-2</v>
      </c>
      <c r="M39" s="220">
        <f t="shared" si="2"/>
        <v>1.0291562666666667</v>
      </c>
      <c r="N39" s="220">
        <f t="shared" si="5"/>
        <v>159.98062030157317</v>
      </c>
      <c r="O39" s="88">
        <f t="shared" si="6"/>
        <v>98.96</v>
      </c>
      <c r="P39" s="20">
        <v>2.9333333333333331</v>
      </c>
      <c r="Q39" s="90">
        <v>85.601666666666674</v>
      </c>
      <c r="R39" s="96">
        <v>6</v>
      </c>
      <c r="S39" s="56">
        <f t="shared" si="3"/>
        <v>0.46</v>
      </c>
      <c r="T39" s="56">
        <f t="shared" si="7"/>
        <v>18.259999999999998</v>
      </c>
      <c r="U39" s="89">
        <f t="shared" si="8"/>
        <v>44.7</v>
      </c>
    </row>
    <row r="40" spans="1:23" ht="16.5" customHeight="1">
      <c r="A40" s="22">
        <v>46031</v>
      </c>
      <c r="B40" s="7">
        <v>36</v>
      </c>
      <c r="C40" s="49">
        <v>0.21736111111111106</v>
      </c>
      <c r="D40" s="215">
        <f t="shared" si="4"/>
        <v>8.3486111111111097</v>
      </c>
      <c r="E40" s="16">
        <v>23.074999999999982</v>
      </c>
      <c r="F40" s="16">
        <v>12.307499999999983</v>
      </c>
      <c r="G40" s="16">
        <v>12</v>
      </c>
      <c r="H40" s="10">
        <f t="shared" si="0"/>
        <v>1.05</v>
      </c>
      <c r="I40" s="16">
        <v>13.333333333333334</v>
      </c>
      <c r="J40" s="16">
        <v>0.2566666666666666</v>
      </c>
      <c r="K40" s="16">
        <v>12</v>
      </c>
      <c r="L40" s="87">
        <f t="shared" si="1"/>
        <v>1.2593777777777777E-2</v>
      </c>
      <c r="M40" s="220">
        <f t="shared" si="2"/>
        <v>1.0374062222222222</v>
      </c>
      <c r="N40" s="220">
        <f t="shared" si="5"/>
        <v>161.01802652379538</v>
      </c>
      <c r="O40" s="88">
        <f t="shared" si="6"/>
        <v>98.8</v>
      </c>
      <c r="P40" s="16">
        <v>2.8200000000000003</v>
      </c>
      <c r="Q40" s="90">
        <v>86.217999999999989</v>
      </c>
      <c r="R40" s="96">
        <v>10</v>
      </c>
      <c r="S40" s="56">
        <f t="shared" si="3"/>
        <v>0.75</v>
      </c>
      <c r="T40" s="56">
        <f t="shared" si="7"/>
        <v>19.009999999999998</v>
      </c>
      <c r="U40" s="89">
        <f t="shared" si="8"/>
        <v>72.3</v>
      </c>
    </row>
    <row r="41" spans="1:23" ht="16.5" customHeight="1">
      <c r="A41" s="22">
        <v>46042</v>
      </c>
      <c r="B41" s="7">
        <v>37</v>
      </c>
      <c r="C41" s="49">
        <v>0.28819444444444442</v>
      </c>
      <c r="D41" s="215">
        <f t="shared" si="4"/>
        <v>8.6368055555555543</v>
      </c>
      <c r="E41" s="16">
        <v>27.900000000000027</v>
      </c>
      <c r="F41" s="16">
        <v>10.265263157894722</v>
      </c>
      <c r="G41" s="16">
        <v>19</v>
      </c>
      <c r="H41" s="10">
        <f t="shared" si="0"/>
        <v>1.67</v>
      </c>
      <c r="I41" s="20">
        <v>13.368421052631579</v>
      </c>
      <c r="J41" s="16">
        <v>0.10052631578947367</v>
      </c>
      <c r="K41" s="16">
        <v>19</v>
      </c>
      <c r="L41" s="87">
        <f t="shared" si="1"/>
        <v>7.8303298245614023E-3</v>
      </c>
      <c r="M41" s="220">
        <f t="shared" si="2"/>
        <v>1.6621696701754385</v>
      </c>
      <c r="N41" s="220">
        <f t="shared" si="5"/>
        <v>162.68019619397083</v>
      </c>
      <c r="O41" s="88">
        <f t="shared" si="6"/>
        <v>99.53</v>
      </c>
      <c r="P41" s="20">
        <v>3.55</v>
      </c>
      <c r="Q41" s="90">
        <v>100</v>
      </c>
      <c r="R41" s="96">
        <v>4</v>
      </c>
      <c r="S41" s="56">
        <f t="shared" si="3"/>
        <v>0.44</v>
      </c>
      <c r="T41" s="56">
        <f t="shared" si="7"/>
        <v>19.45</v>
      </c>
      <c r="U41" s="89">
        <f t="shared" si="8"/>
        <v>26.47</v>
      </c>
    </row>
    <row r="42" spans="1:23" ht="16.5" customHeight="1">
      <c r="A42" s="22">
        <v>46043</v>
      </c>
      <c r="B42" s="7">
        <v>38</v>
      </c>
      <c r="C42" s="49">
        <v>0.25</v>
      </c>
      <c r="D42" s="215">
        <f t="shared" si="4"/>
        <v>8.8868055555555543</v>
      </c>
      <c r="E42" s="16">
        <v>28.283333333333335</v>
      </c>
      <c r="F42" s="16">
        <v>10.156666666666659</v>
      </c>
      <c r="G42" s="16">
        <v>18</v>
      </c>
      <c r="H42" s="10">
        <f t="shared" si="0"/>
        <v>1.59</v>
      </c>
      <c r="I42" s="20">
        <v>13.333333333333334</v>
      </c>
      <c r="J42" s="16">
        <v>7.2222222222222215E-2</v>
      </c>
      <c r="K42" s="16">
        <v>18</v>
      </c>
      <c r="L42" s="87">
        <f t="shared" si="1"/>
        <v>5.315555555555556E-3</v>
      </c>
      <c r="M42" s="220">
        <f t="shared" si="2"/>
        <v>1.5846844444444446</v>
      </c>
      <c r="N42" s="220">
        <f t="shared" si="5"/>
        <v>164.26488063841526</v>
      </c>
      <c r="O42" s="88">
        <f>ROUND(M42/H42*100,2)</f>
        <v>99.67</v>
      </c>
      <c r="P42" s="20">
        <v>1.4699999999999995</v>
      </c>
      <c r="Q42" s="90">
        <v>100</v>
      </c>
      <c r="R42" s="96">
        <v>20</v>
      </c>
      <c r="S42" s="56">
        <f t="shared" si="3"/>
        <v>0.9</v>
      </c>
      <c r="T42" s="56">
        <f t="shared" si="7"/>
        <v>20.349999999999998</v>
      </c>
      <c r="U42" s="89">
        <f t="shared" si="8"/>
        <v>56.79</v>
      </c>
      <c r="W42" s="15"/>
    </row>
    <row r="43" spans="1:23" ht="16.5" customHeight="1">
      <c r="A43" s="36" t="s">
        <v>19</v>
      </c>
      <c r="B43" s="78"/>
      <c r="C43" s="37">
        <f>AVERAGE(C5:C42)</f>
        <v>0.23386330409356723</v>
      </c>
      <c r="D43" s="37">
        <f>D42</f>
        <v>8.8868055555555543</v>
      </c>
      <c r="E43" s="38">
        <f>AVERAGE(E5:E42)</f>
        <v>21.219526577614669</v>
      </c>
      <c r="F43" s="78"/>
      <c r="G43" s="78"/>
      <c r="H43" s="38">
        <f>AVERAGE(H5:H42)</f>
        <v>4.3352631578947367</v>
      </c>
      <c r="I43" s="78"/>
      <c r="J43" s="78"/>
      <c r="K43" s="78"/>
      <c r="L43" s="38">
        <f>SUM(L5:L42)</f>
        <v>0.47511936158476092</v>
      </c>
      <c r="M43" s="38"/>
      <c r="N43" s="38">
        <f>N42</f>
        <v>164.26488063841526</v>
      </c>
      <c r="O43" s="38"/>
      <c r="P43" s="78"/>
      <c r="Q43" s="78"/>
      <c r="R43" s="78"/>
      <c r="S43" s="38"/>
      <c r="T43" s="78">
        <f>T42</f>
        <v>20.349999999999998</v>
      </c>
      <c r="U43" s="38"/>
    </row>
    <row r="44" spans="1:23" ht="16.5" customHeight="1"/>
    <row r="45" spans="1:23" ht="16.5" customHeight="1"/>
    <row r="46" spans="1:23" ht="16.5" customHeight="1"/>
    <row r="47" spans="1:23" ht="16.5" customHeight="1"/>
    <row r="48" spans="1:23" ht="16.5" customHeight="1"/>
    <row r="49" spans="2:33" ht="16.5" customHeight="1"/>
    <row r="50" spans="2:33" ht="16.5" customHeight="1">
      <c r="B50" s="82" t="s">
        <v>20</v>
      </c>
      <c r="L50" s="82" t="s">
        <v>21</v>
      </c>
      <c r="Q50" s="82" t="s">
        <v>22</v>
      </c>
      <c r="Z50" s="82" t="s">
        <v>23</v>
      </c>
    </row>
    <row r="51" spans="2:33" ht="16.5" customHeight="1"/>
    <row r="52" spans="2:33" ht="16.5" customHeight="1">
      <c r="B52" s="82"/>
      <c r="M52" s="82"/>
      <c r="U52" s="82"/>
      <c r="AG52" s="40"/>
    </row>
    <row r="53" spans="2:33" ht="16.5" customHeight="1"/>
    <row r="54" spans="2:33" ht="16.5" customHeight="1"/>
    <row r="55" spans="2:33" ht="16.5" customHeight="1"/>
    <row r="56" spans="2:33" ht="16.5" customHeight="1"/>
    <row r="57" spans="2:33" ht="16.5" customHeight="1"/>
    <row r="58" spans="2:33" ht="16.5" customHeight="1"/>
    <row r="59" spans="2:33" ht="16.5" customHeight="1"/>
    <row r="60" spans="2:33" ht="16.5" customHeight="1"/>
    <row r="61" spans="2:33" ht="16.5" customHeight="1"/>
    <row r="62" spans="2:33" ht="16.5" customHeight="1"/>
    <row r="63" spans="2:33" ht="16.5" customHeight="1"/>
    <row r="64" spans="2:33" ht="16.5" customHeight="1"/>
    <row r="65" spans="2:44" ht="16.5" customHeight="1"/>
    <row r="66" spans="2:44" ht="16.5" customHeight="1"/>
    <row r="67" spans="2:44" ht="16.5" customHeight="1"/>
    <row r="68" spans="2:44" ht="16.5" customHeight="1"/>
    <row r="69" spans="2:44" ht="16.5" customHeight="1"/>
    <row r="70" spans="2:44" ht="16.5" customHeight="1"/>
    <row r="71" spans="2:44" ht="16.5" customHeight="1"/>
    <row r="72" spans="2:44" ht="16.5" customHeight="1"/>
    <row r="73" spans="2:44" ht="16.5" customHeight="1"/>
    <row r="74" spans="2:44" ht="16.5" customHeight="1"/>
    <row r="75" spans="2:44" ht="16.5" customHeight="1"/>
    <row r="76" spans="2:44" ht="16.5" customHeight="1">
      <c r="D76" s="123"/>
      <c r="E76" s="123"/>
      <c r="AE76" s="123"/>
      <c r="AF76" s="123"/>
      <c r="AP76" s="123"/>
      <c r="AQ76" s="123"/>
    </row>
    <row r="77" spans="2:44" ht="16.5" customHeight="1">
      <c r="B77" s="123"/>
      <c r="C77" s="123"/>
      <c r="D77" s="164"/>
      <c r="E77" s="164"/>
      <c r="Z77" s="166"/>
      <c r="AC77" s="123"/>
      <c r="AD77" s="123"/>
      <c r="AE77" s="164"/>
      <c r="AF77" s="164"/>
      <c r="AG77" s="165"/>
      <c r="AK77" s="166"/>
      <c r="AN77" s="123"/>
      <c r="AO77" s="123"/>
      <c r="AP77" s="164"/>
      <c r="AQ77" s="164"/>
      <c r="AR77" s="165"/>
    </row>
    <row r="78" spans="2:44" ht="16.5" customHeight="1">
      <c r="B78" s="123"/>
      <c r="C78" s="123"/>
      <c r="D78" s="164"/>
      <c r="E78" s="164"/>
      <c r="AC78" s="123"/>
      <c r="AD78" s="123"/>
      <c r="AE78" s="164"/>
      <c r="AF78" s="164"/>
      <c r="AN78" s="123"/>
      <c r="AO78" s="123"/>
      <c r="AP78" s="164"/>
      <c r="AQ78" s="164"/>
    </row>
    <row r="79" spans="2:44" ht="16.5" customHeight="1">
      <c r="E79" s="164"/>
      <c r="AF79" s="164"/>
      <c r="AG79" s="40"/>
    </row>
    <row r="80" spans="2:44" ht="16.5" customHeight="1">
      <c r="Z80" s="40" t="s">
        <v>26</v>
      </c>
    </row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spans="26:33" ht="16.5" customHeight="1"/>
    <row r="98" spans="26:33" ht="16.5" customHeight="1"/>
    <row r="99" spans="26:33" ht="16.5" customHeight="1"/>
    <row r="100" spans="26:33" ht="16.5" customHeight="1"/>
    <row r="101" spans="26:33" ht="16.5" customHeight="1"/>
    <row r="102" spans="26:33" ht="16.5" customHeight="1"/>
    <row r="103" spans="26:33" ht="16.5" customHeight="1"/>
    <row r="104" spans="26:33" ht="16.5" customHeight="1"/>
    <row r="105" spans="26:33" ht="16.5" customHeight="1">
      <c r="AG105" s="40"/>
    </row>
    <row r="106" spans="26:33" ht="16.5" customHeight="1"/>
    <row r="107" spans="26:33" ht="16.5" customHeight="1">
      <c r="Z107" s="40" t="s">
        <v>27</v>
      </c>
    </row>
    <row r="108" spans="26:33" ht="16.5" customHeight="1"/>
    <row r="109" spans="26:33" ht="16.5" customHeight="1"/>
    <row r="110" spans="26:33" ht="16.5" customHeight="1"/>
    <row r="111" spans="26:33" ht="16.5" customHeight="1"/>
    <row r="112" spans="26:33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M3:O3"/>
    <mergeCell ref="P3:U3"/>
    <mergeCell ref="B3:B4"/>
    <mergeCell ref="C3:C4"/>
    <mergeCell ref="D3:D4"/>
    <mergeCell ref="E3:H3"/>
    <mergeCell ref="I3:L3"/>
  </mergeCells>
  <phoneticPr fontId="23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0"/>
  <sheetViews>
    <sheetView showGridLines="0" zoomScale="33" zoomScaleNormal="33" workbookViewId="0">
      <selection activeCell="AR32" sqref="AR32"/>
    </sheetView>
  </sheetViews>
  <sheetFormatPr defaultColWidth="12.6640625" defaultRowHeight="15" customHeight="1"/>
  <cols>
    <col min="1" max="1" width="16.44140625" customWidth="1"/>
    <col min="2" max="2" width="6.6640625" customWidth="1"/>
    <col min="3" max="3" width="11.33203125" customWidth="1"/>
    <col min="4" max="4" width="20.5546875" customWidth="1"/>
    <col min="5" max="5" width="11.33203125" bestFit="1" customWidth="1"/>
    <col min="6" max="6" width="9.109375" bestFit="1" customWidth="1"/>
    <col min="7" max="7" width="8" bestFit="1" customWidth="1"/>
    <col min="8" max="8" width="6.88671875" bestFit="1" customWidth="1"/>
    <col min="9" max="9" width="10.33203125" customWidth="1"/>
    <col min="10" max="10" width="8.44140625" customWidth="1"/>
    <col min="11" max="11" width="7.33203125" customWidth="1"/>
    <col min="12" max="12" width="7.5546875" bestFit="1" customWidth="1"/>
    <col min="13" max="13" width="37.88671875" bestFit="1" customWidth="1"/>
    <col min="14" max="14" width="57.109375" bestFit="1" customWidth="1"/>
    <col min="15" max="15" width="14.6640625" customWidth="1"/>
    <col min="16" max="16" width="10.6640625" customWidth="1"/>
    <col min="17" max="17" width="8.6640625" customWidth="1"/>
    <col min="18" max="18" width="7.6640625" customWidth="1"/>
    <col min="19" max="19" width="8.44140625" bestFit="1" customWidth="1"/>
    <col min="20" max="20" width="28.44140625" customWidth="1"/>
    <col min="21" max="21" width="15.6640625" customWidth="1"/>
    <col min="22" max="26" width="8.6640625" customWidth="1"/>
  </cols>
  <sheetData>
    <row r="1" spans="1:34" ht="16.5" customHeight="1">
      <c r="A1" s="82" t="s">
        <v>36</v>
      </c>
    </row>
    <row r="2" spans="1:34" ht="16.5" customHeight="1"/>
    <row r="3" spans="1:34" ht="16.5" customHeight="1">
      <c r="B3" s="280" t="s">
        <v>1</v>
      </c>
      <c r="C3" s="281" t="s">
        <v>2</v>
      </c>
      <c r="D3" s="281" t="s">
        <v>37</v>
      </c>
      <c r="E3" s="279" t="s">
        <v>4</v>
      </c>
      <c r="F3" s="267"/>
      <c r="G3" s="267"/>
      <c r="H3" s="268"/>
      <c r="I3" s="269" t="s">
        <v>5</v>
      </c>
      <c r="J3" s="267"/>
      <c r="K3" s="267"/>
      <c r="L3" s="268"/>
      <c r="M3" s="270" t="s">
        <v>6</v>
      </c>
      <c r="N3" s="267"/>
      <c r="O3" s="268"/>
      <c r="P3" s="271" t="s">
        <v>7</v>
      </c>
      <c r="Q3" s="267"/>
      <c r="R3" s="267"/>
      <c r="S3" s="267"/>
      <c r="T3" s="267"/>
      <c r="U3" s="272"/>
    </row>
    <row r="4" spans="1:34" ht="62.25" customHeight="1">
      <c r="B4" s="263"/>
      <c r="C4" s="265"/>
      <c r="D4" s="265"/>
      <c r="E4" s="201" t="s">
        <v>8</v>
      </c>
      <c r="F4" s="202" t="s">
        <v>9</v>
      </c>
      <c r="G4" s="202" t="s">
        <v>10</v>
      </c>
      <c r="H4" s="2" t="s">
        <v>11</v>
      </c>
      <c r="I4" s="203" t="s">
        <v>8</v>
      </c>
      <c r="J4" s="204" t="s">
        <v>9</v>
      </c>
      <c r="K4" s="204" t="s">
        <v>10</v>
      </c>
      <c r="L4" s="3" t="s">
        <v>11</v>
      </c>
      <c r="M4" s="210" t="s">
        <v>38</v>
      </c>
      <c r="N4" s="210" t="s">
        <v>39</v>
      </c>
      <c r="O4" s="4" t="s">
        <v>14</v>
      </c>
      <c r="P4" s="205" t="s">
        <v>8</v>
      </c>
      <c r="Q4" s="206" t="s">
        <v>9</v>
      </c>
      <c r="R4" s="206" t="s">
        <v>10</v>
      </c>
      <c r="S4" s="84" t="s">
        <v>11</v>
      </c>
      <c r="T4" s="221" t="s">
        <v>40</v>
      </c>
      <c r="U4" s="85" t="s">
        <v>33</v>
      </c>
    </row>
    <row r="5" spans="1:34" ht="16.5" customHeight="1">
      <c r="A5" s="22">
        <v>46049</v>
      </c>
      <c r="B5" s="7">
        <v>1</v>
      </c>
      <c r="C5" s="49">
        <v>0.2048611111111111</v>
      </c>
      <c r="D5" s="219">
        <f>C5</f>
        <v>0.2048611111111111</v>
      </c>
      <c r="E5" s="16">
        <v>26.549999999999944</v>
      </c>
      <c r="F5" s="16">
        <v>11.80710526315786</v>
      </c>
      <c r="G5" s="16">
        <v>38</v>
      </c>
      <c r="H5" s="10">
        <f t="shared" ref="H5:H7" si="0">ROUND(E5*F5*1.84*(G5/60)*0.01,2)</f>
        <v>3.65</v>
      </c>
      <c r="I5" s="20">
        <v>11.710526315789474</v>
      </c>
      <c r="J5" s="16">
        <v>4.8421052631578941E-2</v>
      </c>
      <c r="K5" s="16">
        <v>38</v>
      </c>
      <c r="L5" s="102">
        <f t="shared" ref="L5:L7" si="1">I5*J5*1.84*(K5/60)*0.01</f>
        <v>6.6078596491228074E-3</v>
      </c>
      <c r="M5" s="220">
        <f t="shared" ref="M5:M7" si="2">H5-L5</f>
        <v>3.6433921403508771</v>
      </c>
      <c r="N5" s="220">
        <f>M5</f>
        <v>3.6433921403508771</v>
      </c>
      <c r="O5" s="88">
        <f t="shared" ref="O5:O7" si="3">ROUND(M5/H5*100,2)</f>
        <v>99.82</v>
      </c>
      <c r="P5" s="20">
        <v>3.3</v>
      </c>
      <c r="Q5" s="90">
        <v>100</v>
      </c>
      <c r="R5" s="9">
        <v>5</v>
      </c>
      <c r="S5" s="56">
        <f t="shared" ref="S5:S7" si="4">ROUND(P5*Q5*1.84*(R5/60)*0.01,2)</f>
        <v>0.51</v>
      </c>
      <c r="T5" s="89">
        <f>S5</f>
        <v>0.51</v>
      </c>
      <c r="U5" s="14">
        <f t="shared" ref="U5:U7" si="5">IFERROR(ROUND(S5/M5 *100,2),0)</f>
        <v>14</v>
      </c>
    </row>
    <row r="6" spans="1:34" ht="16.5" customHeight="1">
      <c r="A6" s="22">
        <v>46050</v>
      </c>
      <c r="B6" s="7">
        <v>2</v>
      </c>
      <c r="C6" s="49">
        <v>0.13402777777777775</v>
      </c>
      <c r="D6" s="222">
        <f t="shared" ref="D6:D7" si="6">D5+C6</f>
        <v>0.33888888888888885</v>
      </c>
      <c r="E6" s="16">
        <v>16.666666666666661</v>
      </c>
      <c r="F6" s="16">
        <v>12.885238095238131</v>
      </c>
      <c r="G6" s="16">
        <v>21</v>
      </c>
      <c r="H6" s="10">
        <f t="shared" si="0"/>
        <v>1.38</v>
      </c>
      <c r="I6" s="20">
        <v>11.666666666666666</v>
      </c>
      <c r="J6" s="16">
        <v>0.88952380952380961</v>
      </c>
      <c r="K6" s="16">
        <v>21</v>
      </c>
      <c r="L6" s="87">
        <f t="shared" si="1"/>
        <v>6.6832888888888886E-2</v>
      </c>
      <c r="M6" s="220">
        <f t="shared" si="2"/>
        <v>1.313167111111111</v>
      </c>
      <c r="N6" s="187">
        <f t="shared" ref="N6:N7" si="7">N5+M6</f>
        <v>4.9565592514619876</v>
      </c>
      <c r="O6" s="88">
        <f t="shared" si="3"/>
        <v>95.16</v>
      </c>
      <c r="P6" s="20">
        <v>0.47111111111111115</v>
      </c>
      <c r="Q6" s="90">
        <v>100</v>
      </c>
      <c r="R6" s="9">
        <v>45</v>
      </c>
      <c r="S6" s="56">
        <f t="shared" si="4"/>
        <v>0.65</v>
      </c>
      <c r="T6" s="89">
        <f>T5+S6</f>
        <v>1.1600000000000001</v>
      </c>
      <c r="U6" s="14">
        <f t="shared" si="5"/>
        <v>49.5</v>
      </c>
    </row>
    <row r="7" spans="1:34" ht="16.5" customHeight="1">
      <c r="A7" s="22">
        <v>46051</v>
      </c>
      <c r="B7" s="7">
        <v>3</v>
      </c>
      <c r="C7" s="49">
        <v>0.18263888888888885</v>
      </c>
      <c r="D7" s="186">
        <f t="shared" si="6"/>
        <v>0.5215277777777777</v>
      </c>
      <c r="E7" s="16">
        <v>25.422222222222217</v>
      </c>
      <c r="F7" s="16">
        <v>12.929999999999991</v>
      </c>
      <c r="G7" s="16">
        <v>9</v>
      </c>
      <c r="H7" s="10">
        <f t="shared" si="0"/>
        <v>0.91</v>
      </c>
      <c r="I7" s="20">
        <v>11.333333333333334</v>
      </c>
      <c r="J7" s="16">
        <v>0.12222222222222225</v>
      </c>
      <c r="K7" s="16">
        <v>9</v>
      </c>
      <c r="L7" s="87">
        <f t="shared" si="1"/>
        <v>3.8231111111111122E-3</v>
      </c>
      <c r="M7" s="220">
        <f t="shared" si="2"/>
        <v>0.90617688888888892</v>
      </c>
      <c r="N7" s="187">
        <f t="shared" si="7"/>
        <v>5.8627361403508766</v>
      </c>
      <c r="O7" s="88">
        <f t="shared" si="3"/>
        <v>99.58</v>
      </c>
      <c r="P7" s="20">
        <v>0</v>
      </c>
      <c r="Q7" s="16">
        <v>0</v>
      </c>
      <c r="R7" s="16">
        <v>0</v>
      </c>
      <c r="S7" s="56">
        <f t="shared" si="4"/>
        <v>0</v>
      </c>
      <c r="T7" s="89">
        <f>T6+S7</f>
        <v>1.1600000000000001</v>
      </c>
      <c r="U7" s="14">
        <f t="shared" si="5"/>
        <v>0</v>
      </c>
    </row>
    <row r="8" spans="1:34" ht="16.5" customHeight="1">
      <c r="A8" s="36" t="s">
        <v>19</v>
      </c>
      <c r="B8" s="78"/>
      <c r="C8" s="37"/>
      <c r="D8" s="37">
        <f>D7</f>
        <v>0.5215277777777777</v>
      </c>
      <c r="E8" s="38">
        <f>AVERAGE(E5:E7)</f>
        <v>22.879629629629608</v>
      </c>
      <c r="F8" s="78"/>
      <c r="G8" s="78"/>
      <c r="H8" s="78">
        <f>AVERAGE(H5:H7)</f>
        <v>1.9799999999999998</v>
      </c>
      <c r="I8" s="78"/>
      <c r="J8" s="78"/>
      <c r="K8" s="78"/>
      <c r="L8" s="80">
        <f t="shared" ref="L8:M8" si="8">SUM(L5:L7)</f>
        <v>7.7263859649122801E-2</v>
      </c>
      <c r="M8" s="38">
        <f t="shared" si="8"/>
        <v>5.8627361403508766</v>
      </c>
      <c r="N8" s="38">
        <f>N7</f>
        <v>5.8627361403508766</v>
      </c>
      <c r="O8" s="38">
        <f>AVERAGE(O5:O7)</f>
        <v>98.186666666666667</v>
      </c>
      <c r="P8" s="78"/>
      <c r="Q8" s="78"/>
      <c r="R8" s="78"/>
      <c r="S8" s="38">
        <f>SUM(S5:S7)</f>
        <v>1.1600000000000001</v>
      </c>
      <c r="T8" s="78"/>
      <c r="U8" s="78"/>
    </row>
    <row r="9" spans="1:34" ht="16.5" customHeight="1"/>
    <row r="10" spans="1:34" ht="16.5" customHeight="1"/>
    <row r="11" spans="1:34" ht="16.5" customHeight="1"/>
    <row r="12" spans="1:34" ht="16.5" customHeight="1">
      <c r="B12" s="82" t="s">
        <v>20</v>
      </c>
      <c r="N12" s="82" t="s">
        <v>21</v>
      </c>
      <c r="V12" s="82" t="s">
        <v>22</v>
      </c>
      <c r="AH12" s="40" t="s">
        <v>23</v>
      </c>
    </row>
    <row r="13" spans="1:34" ht="16.5" customHeight="1"/>
    <row r="14" spans="1:34" ht="16.5" customHeight="1"/>
    <row r="15" spans="1:34" ht="16.5" customHeight="1"/>
    <row r="16" spans="1:3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spans="22:34" ht="16.5" customHeight="1"/>
    <row r="34" spans="22:34" ht="16.5" customHeight="1"/>
    <row r="35" spans="22:34" ht="16.5" customHeight="1"/>
    <row r="36" spans="22:34" ht="16.5" customHeight="1"/>
    <row r="37" spans="22:34" ht="16.5" customHeight="1"/>
    <row r="38" spans="22:34" ht="16.5" customHeight="1"/>
    <row r="39" spans="22:34" ht="16.5" customHeight="1"/>
    <row r="40" spans="22:34" ht="16.5" customHeight="1"/>
    <row r="41" spans="22:34" ht="16.5" customHeight="1"/>
    <row r="42" spans="22:34" ht="16.5" customHeight="1">
      <c r="V42" s="40"/>
      <c r="AH42" s="40" t="s">
        <v>26</v>
      </c>
    </row>
    <row r="43" spans="22:34" ht="16.5" customHeight="1"/>
    <row r="44" spans="22:34" ht="16.5" customHeight="1"/>
    <row r="45" spans="22:34" ht="16.5" customHeight="1"/>
    <row r="46" spans="22:34" ht="16.5" customHeight="1"/>
    <row r="47" spans="22:34" ht="16.5" customHeight="1"/>
    <row r="48" spans="22:3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spans="34:34" ht="16.5" customHeight="1"/>
    <row r="66" spans="34:34" ht="16.5" customHeight="1"/>
    <row r="67" spans="34:34" ht="16.5" customHeight="1"/>
    <row r="68" spans="34:34" ht="16.5" customHeight="1"/>
    <row r="69" spans="34:34" ht="16.5" customHeight="1">
      <c r="AH69" s="40" t="s">
        <v>27</v>
      </c>
    </row>
    <row r="70" spans="34:34" ht="16.5" customHeight="1"/>
    <row r="71" spans="34:34" ht="16.5" customHeight="1"/>
    <row r="72" spans="34:34" ht="16.5" customHeight="1"/>
    <row r="73" spans="34:34" ht="16.5" customHeight="1"/>
    <row r="74" spans="34:34" ht="16.5" customHeight="1"/>
    <row r="75" spans="34:34" ht="16.5" customHeight="1"/>
    <row r="76" spans="34:34" ht="16.5" customHeight="1"/>
    <row r="77" spans="34:34" ht="16.5" customHeight="1"/>
    <row r="78" spans="34:34" ht="16.5" customHeight="1"/>
    <row r="79" spans="34:34" ht="16.5" customHeight="1"/>
    <row r="80" spans="34:34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M3:O3"/>
    <mergeCell ref="P3:U3"/>
    <mergeCell ref="B3:B4"/>
    <mergeCell ref="C3:C4"/>
    <mergeCell ref="D3:D4"/>
    <mergeCell ref="E3:H3"/>
    <mergeCell ref="I3:L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showGridLines="0" zoomScale="24" zoomScaleNormal="24" workbookViewId="0">
      <selection activeCell="G9" sqref="G9"/>
    </sheetView>
  </sheetViews>
  <sheetFormatPr defaultColWidth="12.6640625" defaultRowHeight="15" customHeight="1"/>
  <cols>
    <col min="1" max="1" width="17.109375" customWidth="1"/>
    <col min="2" max="12" width="14.44140625" customWidth="1"/>
    <col min="13" max="13" width="47.6640625" bestFit="1" customWidth="1"/>
    <col min="14" max="14" width="69.6640625" bestFit="1" customWidth="1"/>
    <col min="15" max="15" width="16.33203125" bestFit="1" customWidth="1"/>
    <col min="16" max="20" width="14.44140625" customWidth="1"/>
    <col min="21" max="21" width="16.5546875" bestFit="1" customWidth="1"/>
    <col min="22" max="26" width="8.6640625" customWidth="1"/>
  </cols>
  <sheetData>
    <row r="1" spans="1:21" ht="16.5" customHeight="1">
      <c r="A1" s="82" t="s">
        <v>41</v>
      </c>
      <c r="C1" s="39"/>
    </row>
    <row r="2" spans="1:21" ht="16.5" customHeight="1">
      <c r="C2" s="39"/>
    </row>
    <row r="3" spans="1:21" ht="16.5" customHeight="1">
      <c r="B3" s="280" t="s">
        <v>1</v>
      </c>
      <c r="C3" s="281" t="s">
        <v>2</v>
      </c>
      <c r="D3" s="281" t="s">
        <v>37</v>
      </c>
      <c r="E3" s="279" t="s">
        <v>4</v>
      </c>
      <c r="F3" s="267"/>
      <c r="G3" s="267"/>
      <c r="H3" s="268"/>
      <c r="I3" s="269" t="s">
        <v>5</v>
      </c>
      <c r="J3" s="267"/>
      <c r="K3" s="267"/>
      <c r="L3" s="268"/>
      <c r="M3" s="270" t="s">
        <v>6</v>
      </c>
      <c r="N3" s="267"/>
      <c r="O3" s="268"/>
      <c r="P3" s="271" t="s">
        <v>7</v>
      </c>
      <c r="Q3" s="267"/>
      <c r="R3" s="267"/>
      <c r="S3" s="267"/>
      <c r="T3" s="267"/>
      <c r="U3" s="272"/>
    </row>
    <row r="4" spans="1:21" ht="62.25" customHeight="1">
      <c r="B4" s="263"/>
      <c r="C4" s="265"/>
      <c r="D4" s="265"/>
      <c r="E4" s="201" t="s">
        <v>8</v>
      </c>
      <c r="F4" s="202" t="s">
        <v>9</v>
      </c>
      <c r="G4" s="202" t="s">
        <v>10</v>
      </c>
      <c r="H4" s="2" t="s">
        <v>11</v>
      </c>
      <c r="I4" s="203" t="s">
        <v>8</v>
      </c>
      <c r="J4" s="204" t="s">
        <v>9</v>
      </c>
      <c r="K4" s="204" t="s">
        <v>10</v>
      </c>
      <c r="L4" s="3" t="s">
        <v>11</v>
      </c>
      <c r="M4" s="210" t="s">
        <v>42</v>
      </c>
      <c r="N4" s="210" t="s">
        <v>43</v>
      </c>
      <c r="O4" s="4" t="s">
        <v>14</v>
      </c>
      <c r="P4" s="205" t="s">
        <v>8</v>
      </c>
      <c r="Q4" s="206" t="s">
        <v>9</v>
      </c>
      <c r="R4" s="206" t="s">
        <v>10</v>
      </c>
      <c r="S4" s="84" t="s">
        <v>11</v>
      </c>
      <c r="T4" s="221" t="s">
        <v>44</v>
      </c>
      <c r="U4" s="85" t="s">
        <v>33</v>
      </c>
    </row>
    <row r="5" spans="1:21" ht="16.5" customHeight="1">
      <c r="A5" s="103">
        <v>46055</v>
      </c>
      <c r="B5" s="104">
        <v>1</v>
      </c>
      <c r="C5" s="105">
        <v>0.23541666666666666</v>
      </c>
      <c r="D5" s="223">
        <f>C5</f>
        <v>0.23541666666666666</v>
      </c>
      <c r="E5" s="106">
        <v>20.938181818181729</v>
      </c>
      <c r="F5" s="106">
        <v>13</v>
      </c>
      <c r="G5" s="106">
        <v>110</v>
      </c>
      <c r="H5" s="107">
        <f t="shared" ref="H5:H17" si="0">ROUND(E5*F5*1.84*(G5/60)*0.01,2)</f>
        <v>9.18</v>
      </c>
      <c r="I5" s="108">
        <v>11.563636363636364</v>
      </c>
      <c r="J5" s="106">
        <v>1.2636363636363637E-2</v>
      </c>
      <c r="K5" s="106">
        <v>110</v>
      </c>
      <c r="L5" s="109">
        <f t="shared" ref="L5:L17" si="1">I5*J5*1.84*(K5/60)*0.01</f>
        <v>4.9291927272727279E-3</v>
      </c>
      <c r="M5" s="224">
        <f t="shared" ref="M5:M17" si="2">H5-L5</f>
        <v>9.1750708072727267</v>
      </c>
      <c r="N5" s="224">
        <f>M5</f>
        <v>9.1750708072727267</v>
      </c>
      <c r="O5" s="110">
        <f t="shared" ref="O5:O17" si="3">ROUND(M5/H5*100,2)</f>
        <v>99.95</v>
      </c>
      <c r="P5" s="108">
        <v>4.3454545454545448</v>
      </c>
      <c r="Q5" s="111">
        <v>99.320909090909083</v>
      </c>
      <c r="R5" s="112">
        <v>11</v>
      </c>
      <c r="S5" s="113">
        <f>ROUND(P5*Q5*1.84*(R5/60)*0.01,2)</f>
        <v>1.46</v>
      </c>
      <c r="T5" s="114">
        <f>S5</f>
        <v>1.46</v>
      </c>
      <c r="U5" s="115">
        <f>IFERROR(ROUND(S5/M5 *100,2),0)</f>
        <v>15.91</v>
      </c>
    </row>
    <row r="6" spans="1:21" ht="16.5" customHeight="1">
      <c r="A6" s="103">
        <v>46056</v>
      </c>
      <c r="B6" s="104">
        <v>2</v>
      </c>
      <c r="C6" s="105">
        <v>0.17291666666666661</v>
      </c>
      <c r="D6" s="215">
        <f t="shared" ref="D6:D17" si="4">D5+C6</f>
        <v>0.40833333333333327</v>
      </c>
      <c r="E6" s="106">
        <v>15.26923076923072</v>
      </c>
      <c r="F6" s="106">
        <v>12.507884615384622</v>
      </c>
      <c r="G6" s="106">
        <v>52</v>
      </c>
      <c r="H6" s="107">
        <f t="shared" si="0"/>
        <v>3.05</v>
      </c>
      <c r="I6" s="108">
        <v>15</v>
      </c>
      <c r="J6" s="106">
        <v>3.096153846153846E-2</v>
      </c>
      <c r="K6" s="106">
        <v>52</v>
      </c>
      <c r="L6" s="109">
        <f t="shared" si="1"/>
        <v>7.4059999999999994E-3</v>
      </c>
      <c r="M6" s="224">
        <f t="shared" si="2"/>
        <v>3.0425939999999998</v>
      </c>
      <c r="N6" s="225">
        <f t="shared" ref="N6:N17" si="5">N5+M6</f>
        <v>12.217664807272726</v>
      </c>
      <c r="O6" s="110">
        <f t="shared" si="3"/>
        <v>99.76</v>
      </c>
      <c r="P6" s="108" t="s">
        <v>18</v>
      </c>
      <c r="Q6" s="111" t="s">
        <v>18</v>
      </c>
      <c r="R6" s="112" t="s">
        <v>18</v>
      </c>
      <c r="S6" s="113" t="s">
        <v>18</v>
      </c>
      <c r="T6" s="114" t="s">
        <v>18</v>
      </c>
      <c r="U6" s="115" t="s">
        <v>18</v>
      </c>
    </row>
    <row r="7" spans="1:21" ht="16.5" customHeight="1">
      <c r="A7" s="103">
        <v>46057</v>
      </c>
      <c r="B7" s="104">
        <v>3</v>
      </c>
      <c r="C7" s="105">
        <v>0.21944444444444444</v>
      </c>
      <c r="D7" s="215">
        <f t="shared" si="4"/>
        <v>0.62777777777777777</v>
      </c>
      <c r="E7" s="106">
        <v>15.39999999999999</v>
      </c>
      <c r="F7" s="106">
        <v>13.014807692307738</v>
      </c>
      <c r="G7" s="106">
        <v>52</v>
      </c>
      <c r="H7" s="107">
        <f t="shared" si="0"/>
        <v>3.2</v>
      </c>
      <c r="I7" s="108">
        <v>13.923076923076923</v>
      </c>
      <c r="J7" s="106">
        <v>3.865384615384615E-2</v>
      </c>
      <c r="K7" s="106">
        <v>52</v>
      </c>
      <c r="L7" s="109">
        <f t="shared" si="1"/>
        <v>8.5821846153846144E-3</v>
      </c>
      <c r="M7" s="224">
        <f t="shared" si="2"/>
        <v>3.1914178153846158</v>
      </c>
      <c r="N7" s="225">
        <f t="shared" si="5"/>
        <v>15.409082622657342</v>
      </c>
      <c r="O7" s="110">
        <f t="shared" si="3"/>
        <v>99.73</v>
      </c>
      <c r="P7" s="108">
        <v>5.7857142857142856</v>
      </c>
      <c r="Q7" s="111">
        <v>99.76428571428572</v>
      </c>
      <c r="R7" s="112">
        <v>7</v>
      </c>
      <c r="S7" s="113">
        <f t="shared" ref="S7:S17" si="6">ROUND(P7*Q7*1.84*(R7/60)*0.01,2)</f>
        <v>1.24</v>
      </c>
      <c r="T7" s="114">
        <f>T5+S7</f>
        <v>2.7</v>
      </c>
      <c r="U7" s="115">
        <f t="shared" ref="U7:U17" si="7">IFERROR(ROUND(S7/M7 *100,2),0)</f>
        <v>38.85</v>
      </c>
    </row>
    <row r="8" spans="1:21" ht="16.5" customHeight="1">
      <c r="A8" s="103">
        <v>46058</v>
      </c>
      <c r="B8" s="104">
        <v>4</v>
      </c>
      <c r="C8" s="105">
        <v>0.19861111111111113</v>
      </c>
      <c r="D8" s="215">
        <f t="shared" si="4"/>
        <v>0.82638888888888884</v>
      </c>
      <c r="E8" s="106">
        <v>23.320312500000085</v>
      </c>
      <c r="F8" s="106">
        <v>12.901093750000015</v>
      </c>
      <c r="G8" s="106">
        <v>64</v>
      </c>
      <c r="H8" s="107">
        <f t="shared" si="0"/>
        <v>5.9</v>
      </c>
      <c r="I8" s="108">
        <v>13</v>
      </c>
      <c r="J8" s="106">
        <v>4.0312499999999994E-2</v>
      </c>
      <c r="K8" s="106">
        <v>64</v>
      </c>
      <c r="L8" s="109">
        <f t="shared" si="1"/>
        <v>1.0285599999999997E-2</v>
      </c>
      <c r="M8" s="224">
        <f t="shared" si="2"/>
        <v>5.8897144000000008</v>
      </c>
      <c r="N8" s="225">
        <f t="shared" si="5"/>
        <v>21.298797022657343</v>
      </c>
      <c r="O8" s="110">
        <f t="shared" si="3"/>
        <v>99.83</v>
      </c>
      <c r="P8" s="108">
        <v>4.125</v>
      </c>
      <c r="Q8" s="111">
        <v>97.515000000000001</v>
      </c>
      <c r="R8" s="112">
        <v>12</v>
      </c>
      <c r="S8" s="113">
        <f t="shared" si="6"/>
        <v>1.48</v>
      </c>
      <c r="T8" s="114">
        <f t="shared" ref="T8:T17" si="8">T7+S8</f>
        <v>4.18</v>
      </c>
      <c r="U8" s="115">
        <f t="shared" si="7"/>
        <v>25.13</v>
      </c>
    </row>
    <row r="9" spans="1:21" ht="16.5" customHeight="1">
      <c r="A9" s="103">
        <v>46059</v>
      </c>
      <c r="B9" s="104">
        <v>5</v>
      </c>
      <c r="C9" s="105">
        <v>0.27430555555555558</v>
      </c>
      <c r="D9" s="215">
        <f t="shared" si="4"/>
        <v>1.1006944444444444</v>
      </c>
      <c r="E9" s="106">
        <v>27.169230769230737</v>
      </c>
      <c r="F9" s="106">
        <v>12.3900000000001</v>
      </c>
      <c r="G9" s="106">
        <v>52</v>
      </c>
      <c r="H9" s="107">
        <f t="shared" si="0"/>
        <v>5.37</v>
      </c>
      <c r="I9" s="108">
        <v>13.807692307692308</v>
      </c>
      <c r="J9" s="106">
        <v>2.5576923076923077E-2</v>
      </c>
      <c r="K9" s="106">
        <v>52</v>
      </c>
      <c r="L9" s="109">
        <f t="shared" si="1"/>
        <v>5.6316974358974368E-3</v>
      </c>
      <c r="M9" s="224">
        <f t="shared" si="2"/>
        <v>5.3643683025641025</v>
      </c>
      <c r="N9" s="225">
        <f t="shared" si="5"/>
        <v>26.663165325221446</v>
      </c>
      <c r="O9" s="110">
        <f t="shared" si="3"/>
        <v>99.9</v>
      </c>
      <c r="P9" s="108">
        <v>2.6466666666666669</v>
      </c>
      <c r="Q9" s="111">
        <v>99.460666666666668</v>
      </c>
      <c r="R9" s="112">
        <v>15</v>
      </c>
      <c r="S9" s="113">
        <f t="shared" si="6"/>
        <v>1.21</v>
      </c>
      <c r="T9" s="114">
        <f t="shared" si="8"/>
        <v>5.39</v>
      </c>
      <c r="U9" s="115">
        <f t="shared" si="7"/>
        <v>22.56</v>
      </c>
    </row>
    <row r="10" spans="1:21" ht="16.5" customHeight="1">
      <c r="A10" s="103">
        <v>46062</v>
      </c>
      <c r="B10" s="104">
        <v>6</v>
      </c>
      <c r="C10" s="105">
        <v>0.25625000000000003</v>
      </c>
      <c r="D10" s="215">
        <f t="shared" si="4"/>
        <v>1.3569444444444445</v>
      </c>
      <c r="E10" s="106">
        <v>22.317460317460363</v>
      </c>
      <c r="F10" s="106">
        <v>12.488253968254048</v>
      </c>
      <c r="G10" s="106">
        <v>63</v>
      </c>
      <c r="H10" s="107">
        <f t="shared" si="0"/>
        <v>5.38</v>
      </c>
      <c r="I10" s="108">
        <v>13.476190476190476</v>
      </c>
      <c r="J10" s="106">
        <v>2.7619047619047619E-2</v>
      </c>
      <c r="K10" s="106">
        <v>63</v>
      </c>
      <c r="L10" s="109">
        <f t="shared" si="1"/>
        <v>7.1908952380952389E-3</v>
      </c>
      <c r="M10" s="224">
        <f t="shared" si="2"/>
        <v>5.3728091047619051</v>
      </c>
      <c r="N10" s="225">
        <f t="shared" si="5"/>
        <v>32.035974429983348</v>
      </c>
      <c r="O10" s="110">
        <f t="shared" si="3"/>
        <v>99.87</v>
      </c>
      <c r="P10" s="108">
        <v>2.5466666666666677</v>
      </c>
      <c r="Q10" s="106">
        <v>56.583388888889111</v>
      </c>
      <c r="R10" s="106">
        <v>30</v>
      </c>
      <c r="S10" s="113">
        <f t="shared" si="6"/>
        <v>1.33</v>
      </c>
      <c r="T10" s="114">
        <f t="shared" si="8"/>
        <v>6.72</v>
      </c>
      <c r="U10" s="115">
        <f t="shared" si="7"/>
        <v>24.75</v>
      </c>
    </row>
    <row r="11" spans="1:21" ht="16.5" customHeight="1">
      <c r="A11" s="103">
        <v>46063</v>
      </c>
      <c r="B11" s="104">
        <v>7</v>
      </c>
      <c r="C11" s="105">
        <v>0.15000000000000002</v>
      </c>
      <c r="D11" s="215">
        <f t="shared" si="4"/>
        <v>1.5069444444444446</v>
      </c>
      <c r="E11" s="106">
        <v>24.038983050847495</v>
      </c>
      <c r="F11" s="106">
        <v>12.311355932203433</v>
      </c>
      <c r="G11" s="106">
        <v>59</v>
      </c>
      <c r="H11" s="107">
        <f t="shared" si="0"/>
        <v>5.35</v>
      </c>
      <c r="I11" s="108">
        <v>13.677966101694915</v>
      </c>
      <c r="J11" s="106">
        <v>2.1864406779661019E-2</v>
      </c>
      <c r="K11" s="106">
        <v>59</v>
      </c>
      <c r="L11" s="109">
        <f t="shared" si="1"/>
        <v>5.4110033898305092E-3</v>
      </c>
      <c r="M11" s="224">
        <f t="shared" si="2"/>
        <v>5.3445889966101694</v>
      </c>
      <c r="N11" s="225">
        <f t="shared" si="5"/>
        <v>37.380563426593518</v>
      </c>
      <c r="O11" s="110">
        <f t="shared" si="3"/>
        <v>99.9</v>
      </c>
      <c r="P11" s="108">
        <v>1.8076923076923077</v>
      </c>
      <c r="Q11" s="106">
        <v>79.864006410256323</v>
      </c>
      <c r="R11" s="106">
        <v>52</v>
      </c>
      <c r="S11" s="113">
        <f t="shared" si="6"/>
        <v>2.2999999999999998</v>
      </c>
      <c r="T11" s="114">
        <f t="shared" si="8"/>
        <v>9.02</v>
      </c>
      <c r="U11" s="115">
        <f t="shared" si="7"/>
        <v>43.03</v>
      </c>
    </row>
    <row r="12" spans="1:21" ht="16.5" customHeight="1">
      <c r="A12" s="103">
        <v>46064</v>
      </c>
      <c r="B12" s="104">
        <v>8</v>
      </c>
      <c r="C12" s="105">
        <v>0.26805555555555549</v>
      </c>
      <c r="D12" s="215">
        <f t="shared" si="4"/>
        <v>1.7750000000000001</v>
      </c>
      <c r="E12" s="106">
        <v>23.09852941176468</v>
      </c>
      <c r="F12" s="106">
        <v>12.578529411764729</v>
      </c>
      <c r="G12" s="106">
        <v>68</v>
      </c>
      <c r="H12" s="107">
        <f t="shared" si="0"/>
        <v>6.06</v>
      </c>
      <c r="I12" s="108">
        <v>11.882352941176471</v>
      </c>
      <c r="J12" s="106">
        <v>3.9705882352941174E-2</v>
      </c>
      <c r="K12" s="106">
        <v>68</v>
      </c>
      <c r="L12" s="109">
        <f t="shared" si="1"/>
        <v>9.8385882352941181E-3</v>
      </c>
      <c r="M12" s="224">
        <f t="shared" si="2"/>
        <v>6.0501614117647051</v>
      </c>
      <c r="N12" s="225">
        <f t="shared" si="5"/>
        <v>43.430724838358223</v>
      </c>
      <c r="O12" s="110">
        <f t="shared" si="3"/>
        <v>99.84</v>
      </c>
      <c r="P12" s="108">
        <v>0.66730769230769205</v>
      </c>
      <c r="Q12" s="106">
        <v>55.612532051281974</v>
      </c>
      <c r="R12" s="112">
        <v>104</v>
      </c>
      <c r="S12" s="113">
        <f t="shared" si="6"/>
        <v>1.18</v>
      </c>
      <c r="T12" s="114">
        <f t="shared" si="8"/>
        <v>10.199999999999999</v>
      </c>
      <c r="U12" s="115">
        <f t="shared" si="7"/>
        <v>19.5</v>
      </c>
    </row>
    <row r="13" spans="1:21" ht="16.5" customHeight="1">
      <c r="A13" s="103">
        <v>46065</v>
      </c>
      <c r="B13" s="104">
        <v>9</v>
      </c>
      <c r="C13" s="105">
        <v>0.32430555555555557</v>
      </c>
      <c r="D13" s="215">
        <f t="shared" si="4"/>
        <v>2.0993055555555555</v>
      </c>
      <c r="E13" s="106">
        <v>15.622448979591827</v>
      </c>
      <c r="F13" s="106">
        <v>14.550000000000081</v>
      </c>
      <c r="G13" s="106">
        <v>49</v>
      </c>
      <c r="H13" s="107">
        <f t="shared" si="0"/>
        <v>3.42</v>
      </c>
      <c r="I13" s="108">
        <v>17.489795918367346</v>
      </c>
      <c r="J13" s="106">
        <v>2.7551020408163263E-2</v>
      </c>
      <c r="K13" s="106">
        <v>49</v>
      </c>
      <c r="L13" s="109">
        <f t="shared" si="1"/>
        <v>7.2407755102040809E-3</v>
      </c>
      <c r="M13" s="224">
        <f t="shared" si="2"/>
        <v>3.412759224489796</v>
      </c>
      <c r="N13" s="225">
        <f t="shared" si="5"/>
        <v>46.84348406284802</v>
      </c>
      <c r="O13" s="110">
        <f t="shared" si="3"/>
        <v>99.79</v>
      </c>
      <c r="P13" s="108">
        <v>1.5452380952380893</v>
      </c>
      <c r="Q13" s="106">
        <v>47.983015873015866</v>
      </c>
      <c r="R13" s="112">
        <v>42</v>
      </c>
      <c r="S13" s="113">
        <f t="shared" si="6"/>
        <v>0.95</v>
      </c>
      <c r="T13" s="114">
        <f t="shared" si="8"/>
        <v>11.149999999999999</v>
      </c>
      <c r="U13" s="115">
        <f t="shared" si="7"/>
        <v>27.84</v>
      </c>
    </row>
    <row r="14" spans="1:21" ht="16.5" customHeight="1">
      <c r="A14" s="103">
        <v>46066</v>
      </c>
      <c r="B14" s="104">
        <v>10</v>
      </c>
      <c r="C14" s="105">
        <v>0.22777777777777775</v>
      </c>
      <c r="D14" s="215">
        <f t="shared" si="4"/>
        <v>2.3270833333333334</v>
      </c>
      <c r="E14" s="106">
        <v>22.47391304347828</v>
      </c>
      <c r="F14" s="106">
        <v>11.72543478260865</v>
      </c>
      <c r="G14" s="106">
        <v>46</v>
      </c>
      <c r="H14" s="107">
        <f t="shared" si="0"/>
        <v>3.72</v>
      </c>
      <c r="I14" s="108">
        <v>14</v>
      </c>
      <c r="J14" s="106">
        <v>2.2826086956521739E-2</v>
      </c>
      <c r="K14" s="106">
        <v>46</v>
      </c>
      <c r="L14" s="109">
        <f t="shared" si="1"/>
        <v>4.5079999999999999E-3</v>
      </c>
      <c r="M14" s="224">
        <f t="shared" si="2"/>
        <v>3.7154920000000002</v>
      </c>
      <c r="N14" s="225">
        <f t="shared" si="5"/>
        <v>50.558976062848018</v>
      </c>
      <c r="O14" s="110">
        <f t="shared" si="3"/>
        <v>99.88</v>
      </c>
      <c r="P14" s="108">
        <v>1.2090909090909085</v>
      </c>
      <c r="Q14" s="106">
        <v>27.986060606060605</v>
      </c>
      <c r="R14" s="112">
        <v>44</v>
      </c>
      <c r="S14" s="113">
        <f t="shared" si="6"/>
        <v>0.46</v>
      </c>
      <c r="T14" s="114">
        <f t="shared" si="8"/>
        <v>11.61</v>
      </c>
      <c r="U14" s="115">
        <f t="shared" si="7"/>
        <v>12.38</v>
      </c>
    </row>
    <row r="15" spans="1:21" ht="16.5" customHeight="1">
      <c r="A15" s="103">
        <v>46069</v>
      </c>
      <c r="B15" s="104">
        <v>11</v>
      </c>
      <c r="C15" s="105">
        <v>0.26319444444444451</v>
      </c>
      <c r="D15" s="215">
        <f t="shared" si="4"/>
        <v>2.5902777777777777</v>
      </c>
      <c r="E15" s="106">
        <v>21.260869565217362</v>
      </c>
      <c r="F15" s="106">
        <v>11.517101449275415</v>
      </c>
      <c r="G15" s="112">
        <v>69</v>
      </c>
      <c r="H15" s="107">
        <f t="shared" si="0"/>
        <v>5.18</v>
      </c>
      <c r="I15" s="108">
        <v>12.478260869565217</v>
      </c>
      <c r="J15" s="106">
        <v>5.2608695652173923E-2</v>
      </c>
      <c r="K15" s="112">
        <v>69</v>
      </c>
      <c r="L15" s="109">
        <f t="shared" si="1"/>
        <v>1.3890800000000002E-2</v>
      </c>
      <c r="M15" s="224">
        <f t="shared" si="2"/>
        <v>5.1661091999999993</v>
      </c>
      <c r="N15" s="225">
        <f t="shared" si="5"/>
        <v>55.725085262848019</v>
      </c>
      <c r="O15" s="110">
        <f t="shared" si="3"/>
        <v>99.73</v>
      </c>
      <c r="P15" s="108">
        <v>2.0003257328990238</v>
      </c>
      <c r="Q15" s="106">
        <v>33.547752442996746</v>
      </c>
      <c r="R15" s="116">
        <v>51.166666666666664</v>
      </c>
      <c r="S15" s="113">
        <f t="shared" si="6"/>
        <v>1.05</v>
      </c>
      <c r="T15" s="114">
        <f t="shared" si="8"/>
        <v>12.66</v>
      </c>
      <c r="U15" s="115">
        <f t="shared" si="7"/>
        <v>20.32</v>
      </c>
    </row>
    <row r="16" spans="1:21" ht="16.5" customHeight="1">
      <c r="A16" s="103">
        <v>46070</v>
      </c>
      <c r="B16" s="104">
        <v>12</v>
      </c>
      <c r="C16" s="105">
        <v>0.24722222222222223</v>
      </c>
      <c r="D16" s="215">
        <f t="shared" si="4"/>
        <v>2.8374999999999999</v>
      </c>
      <c r="E16" s="106">
        <v>22.272463768116005</v>
      </c>
      <c r="F16" s="106">
        <v>11.372753623188384</v>
      </c>
      <c r="G16" s="106">
        <v>69</v>
      </c>
      <c r="H16" s="107">
        <f t="shared" si="0"/>
        <v>5.36</v>
      </c>
      <c r="I16" s="108">
        <v>12.478260869565217</v>
      </c>
      <c r="J16" s="106">
        <v>5.2608695652173923E-2</v>
      </c>
      <c r="K16" s="106">
        <v>69</v>
      </c>
      <c r="L16" s="109">
        <f t="shared" si="1"/>
        <v>1.3890800000000002E-2</v>
      </c>
      <c r="M16" s="224">
        <f t="shared" si="2"/>
        <v>5.3461091999999999</v>
      </c>
      <c r="N16" s="225">
        <f t="shared" si="5"/>
        <v>61.07119446284802</v>
      </c>
      <c r="O16" s="110">
        <f t="shared" si="3"/>
        <v>99.74</v>
      </c>
      <c r="P16" s="108">
        <v>2.168085106382978</v>
      </c>
      <c r="Q16" s="106">
        <v>57.502978723404254</v>
      </c>
      <c r="R16" s="116">
        <v>47</v>
      </c>
      <c r="S16" s="113">
        <f t="shared" si="6"/>
        <v>1.8</v>
      </c>
      <c r="T16" s="114">
        <f t="shared" si="8"/>
        <v>14.46</v>
      </c>
      <c r="U16" s="115">
        <f t="shared" si="7"/>
        <v>33.67</v>
      </c>
    </row>
    <row r="17" spans="1:28" ht="16.5" customHeight="1">
      <c r="A17" s="103">
        <v>46071</v>
      </c>
      <c r="B17" s="104">
        <v>13</v>
      </c>
      <c r="C17" s="105">
        <v>0.23472222222222222</v>
      </c>
      <c r="D17" s="215">
        <f t="shared" si="4"/>
        <v>3.072222222222222</v>
      </c>
      <c r="E17" s="106">
        <v>21.814285714285671</v>
      </c>
      <c r="F17" s="106">
        <v>11.474920634920689</v>
      </c>
      <c r="G17" s="106">
        <v>63</v>
      </c>
      <c r="H17" s="107">
        <f t="shared" si="0"/>
        <v>4.84</v>
      </c>
      <c r="I17" s="108">
        <v>12.952380952380953</v>
      </c>
      <c r="J17" s="106">
        <v>2.8412698412698414E-2</v>
      </c>
      <c r="K17" s="106">
        <v>63</v>
      </c>
      <c r="L17" s="109">
        <f t="shared" si="1"/>
        <v>7.1099936507936527E-3</v>
      </c>
      <c r="M17" s="224">
        <f t="shared" si="2"/>
        <v>4.8328900063492064</v>
      </c>
      <c r="N17" s="225">
        <f t="shared" si="5"/>
        <v>65.90408446919723</v>
      </c>
      <c r="O17" s="110">
        <f t="shared" si="3"/>
        <v>99.85</v>
      </c>
      <c r="P17" s="108">
        <v>2.2959999999999936</v>
      </c>
      <c r="Q17" s="106">
        <v>31.674066666666665</v>
      </c>
      <c r="R17" s="116">
        <v>25</v>
      </c>
      <c r="S17" s="113">
        <f t="shared" si="6"/>
        <v>0.56000000000000005</v>
      </c>
      <c r="T17" s="114">
        <f t="shared" si="8"/>
        <v>15.020000000000001</v>
      </c>
      <c r="U17" s="115">
        <f t="shared" si="7"/>
        <v>11.59</v>
      </c>
    </row>
    <row r="18" spans="1:28" ht="16.5" customHeight="1">
      <c r="A18" s="117" t="s">
        <v>19</v>
      </c>
      <c r="B18" s="118"/>
      <c r="C18" s="119"/>
      <c r="D18" s="119">
        <f>D17</f>
        <v>3.072222222222222</v>
      </c>
      <c r="E18" s="121">
        <f>AVERAGE(E5:E17)</f>
        <v>21.153531515954228</v>
      </c>
      <c r="F18" s="118"/>
      <c r="G18" s="118"/>
      <c r="H18" s="121">
        <f>AVERAGE(H5:H17)</f>
        <v>5.0776923076923079</v>
      </c>
      <c r="I18" s="118"/>
      <c r="J18" s="118"/>
      <c r="K18" s="118"/>
      <c r="L18" s="120">
        <f t="shared" ref="L18:M18" si="9">SUM(L5:L17)</f>
        <v>0.10591553080277238</v>
      </c>
      <c r="M18" s="121">
        <f t="shared" si="9"/>
        <v>65.90408446919723</v>
      </c>
      <c r="N18" s="121">
        <f>N17</f>
        <v>65.90408446919723</v>
      </c>
      <c r="O18" s="121">
        <f>AVERAGE(O5:O17)</f>
        <v>99.828461538461525</v>
      </c>
      <c r="P18" s="118"/>
      <c r="Q18" s="118"/>
      <c r="R18" s="118"/>
      <c r="S18" s="118">
        <f>SUM(S5:S17)</f>
        <v>15.020000000000001</v>
      </c>
      <c r="T18" s="118"/>
      <c r="U18" s="118"/>
    </row>
    <row r="19" spans="1:28" ht="16.5" customHeight="1"/>
    <row r="20" spans="1:28" ht="16.5" customHeight="1"/>
    <row r="21" spans="1:28" ht="16.5" customHeight="1">
      <c r="B21" s="122"/>
    </row>
    <row r="22" spans="1:28" ht="16.5" customHeight="1"/>
    <row r="23" spans="1:28" ht="16.5" customHeight="1"/>
    <row r="24" spans="1:28" ht="16.5" customHeight="1">
      <c r="B24" s="82" t="s">
        <v>20</v>
      </c>
      <c r="L24" s="82" t="s">
        <v>21</v>
      </c>
      <c r="P24" s="82" t="s">
        <v>22</v>
      </c>
      <c r="AB24" s="40" t="s">
        <v>23</v>
      </c>
    </row>
    <row r="25" spans="1:28" ht="16.5" customHeight="1"/>
    <row r="26" spans="1:28" ht="16.5" customHeight="1"/>
    <row r="27" spans="1:28" ht="16.5" customHeight="1"/>
    <row r="28" spans="1:28" ht="16.5" customHeight="1"/>
    <row r="29" spans="1:28" ht="16.5" customHeight="1"/>
    <row r="30" spans="1:28" ht="16.5" customHeight="1"/>
    <row r="31" spans="1:28" ht="16.5" customHeight="1"/>
    <row r="32" spans="1:2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spans="28:28" ht="16.5" customHeight="1"/>
    <row r="50" spans="28:28" ht="16.5" customHeight="1"/>
    <row r="51" spans="28:28" ht="16.5" customHeight="1"/>
    <row r="52" spans="28:28" ht="16.5" customHeight="1"/>
    <row r="53" spans="28:28" ht="16.5" customHeight="1"/>
    <row r="54" spans="28:28" ht="16.5" customHeight="1">
      <c r="AB54" s="40" t="s">
        <v>26</v>
      </c>
    </row>
    <row r="55" spans="28:28" ht="16.5" customHeight="1"/>
    <row r="56" spans="28:28" ht="16.5" customHeight="1"/>
    <row r="57" spans="28:28" ht="16.5" customHeight="1"/>
    <row r="58" spans="28:28" ht="16.5" customHeight="1"/>
    <row r="59" spans="28:28" ht="16.5" customHeight="1"/>
    <row r="60" spans="28:28" ht="16.5" customHeight="1"/>
    <row r="61" spans="28:28" ht="16.5" customHeight="1"/>
    <row r="62" spans="28:28" ht="16.5" customHeight="1"/>
    <row r="63" spans="28:28" ht="16.5" customHeight="1"/>
    <row r="64" spans="28:28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spans="28:28" ht="16.5" customHeight="1"/>
    <row r="82" spans="28:28" ht="16.5" customHeight="1">
      <c r="AB82" s="40" t="s">
        <v>27</v>
      </c>
    </row>
    <row r="83" spans="28:28" ht="16.5" customHeight="1"/>
    <row r="84" spans="28:28" ht="16.5" customHeight="1"/>
    <row r="85" spans="28:28" ht="16.5" customHeight="1"/>
    <row r="86" spans="28:28" ht="16.5" customHeight="1"/>
    <row r="87" spans="28:28" ht="16.5" customHeight="1"/>
    <row r="88" spans="28:28" ht="16.5" customHeight="1"/>
    <row r="89" spans="28:28" ht="16.5" customHeight="1"/>
    <row r="90" spans="28:28" ht="16.5" customHeight="1"/>
    <row r="91" spans="28:28" ht="16.5" customHeight="1"/>
    <row r="92" spans="28:28" ht="16.5" customHeight="1"/>
    <row r="93" spans="28:28" ht="16.5" customHeight="1"/>
    <row r="94" spans="28:28" ht="16.5" customHeight="1"/>
    <row r="95" spans="28:28" ht="16.5" customHeight="1"/>
    <row r="96" spans="28:28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M3:O3"/>
    <mergeCell ref="P3:U3"/>
    <mergeCell ref="B3:B4"/>
    <mergeCell ref="C3:C4"/>
    <mergeCell ref="D3:D4"/>
    <mergeCell ref="E3:H3"/>
    <mergeCell ref="I3:L3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977"/>
  <sheetViews>
    <sheetView showGridLines="0" zoomScale="20" zoomScaleNormal="20" workbookViewId="0">
      <selection activeCell="I28" sqref="I28"/>
    </sheetView>
  </sheetViews>
  <sheetFormatPr defaultColWidth="12.6640625" defaultRowHeight="15" customHeight="1"/>
  <cols>
    <col min="1" max="1" width="17.109375" customWidth="1"/>
    <col min="2" max="3" width="14.44140625" customWidth="1"/>
    <col min="4" max="4" width="13.6640625" bestFit="1" customWidth="1"/>
    <col min="5" max="12" width="14.44140625" customWidth="1"/>
    <col min="13" max="13" width="64.88671875" customWidth="1"/>
    <col min="14" max="14" width="78.5546875" bestFit="1" customWidth="1"/>
    <col min="15" max="15" width="14.6640625" customWidth="1"/>
    <col min="16" max="19" width="14.44140625" customWidth="1"/>
    <col min="20" max="20" width="28.33203125" bestFit="1" customWidth="1"/>
    <col min="21" max="21" width="18.88671875" bestFit="1" customWidth="1"/>
    <col min="22" max="26" width="8.6640625" customWidth="1"/>
  </cols>
  <sheetData>
    <row r="1" spans="1:24" ht="16.5" customHeight="1">
      <c r="A1" s="82" t="s">
        <v>45</v>
      </c>
      <c r="C1" s="39"/>
    </row>
    <row r="2" spans="1:24" ht="16.5" customHeight="1"/>
    <row r="3" spans="1:24" ht="21">
      <c r="B3" s="280" t="s">
        <v>1</v>
      </c>
      <c r="C3" s="281" t="s">
        <v>2</v>
      </c>
      <c r="D3" s="281" t="s">
        <v>46</v>
      </c>
      <c r="E3" s="279" t="s">
        <v>4</v>
      </c>
      <c r="F3" s="267"/>
      <c r="G3" s="267"/>
      <c r="H3" s="268"/>
      <c r="I3" s="269" t="s">
        <v>5</v>
      </c>
      <c r="J3" s="267"/>
      <c r="K3" s="267"/>
      <c r="L3" s="268"/>
      <c r="M3" s="270" t="s">
        <v>6</v>
      </c>
      <c r="N3" s="267"/>
      <c r="O3" s="268"/>
      <c r="P3" s="271" t="s">
        <v>7</v>
      </c>
      <c r="Q3" s="267"/>
      <c r="R3" s="267"/>
      <c r="S3" s="267"/>
      <c r="T3" s="267"/>
      <c r="U3" s="272"/>
    </row>
    <row r="4" spans="1:24" ht="88.2" customHeight="1">
      <c r="B4" s="263"/>
      <c r="C4" s="265"/>
      <c r="D4" s="265"/>
      <c r="E4" s="201" t="s">
        <v>8</v>
      </c>
      <c r="F4" s="202" t="s">
        <v>9</v>
      </c>
      <c r="G4" s="202" t="s">
        <v>10</v>
      </c>
      <c r="H4" s="2" t="s">
        <v>11</v>
      </c>
      <c r="I4" s="203" t="s">
        <v>8</v>
      </c>
      <c r="J4" s="204" t="s">
        <v>9</v>
      </c>
      <c r="K4" s="204" t="s">
        <v>10</v>
      </c>
      <c r="L4" s="3" t="s">
        <v>11</v>
      </c>
      <c r="M4" s="210" t="s">
        <v>47</v>
      </c>
      <c r="N4" s="210" t="s">
        <v>48</v>
      </c>
      <c r="O4" s="4" t="s">
        <v>14</v>
      </c>
      <c r="P4" s="205" t="s">
        <v>8</v>
      </c>
      <c r="Q4" s="206" t="s">
        <v>9</v>
      </c>
      <c r="R4" s="206" t="s">
        <v>10</v>
      </c>
      <c r="S4" s="84" t="s">
        <v>11</v>
      </c>
      <c r="T4" s="221" t="s">
        <v>49</v>
      </c>
      <c r="U4" s="85" t="s">
        <v>33</v>
      </c>
    </row>
    <row r="5" spans="1:24" ht="16.5" customHeight="1">
      <c r="A5" s="141">
        <v>46076</v>
      </c>
      <c r="B5" s="104">
        <v>1</v>
      </c>
      <c r="C5" s="105">
        <v>0.22916666666666663</v>
      </c>
      <c r="D5" s="223">
        <f>C5</f>
        <v>0.22916666666666663</v>
      </c>
      <c r="E5" s="142">
        <v>24.90000000000008</v>
      </c>
      <c r="F5" s="142">
        <v>11.772439024390208</v>
      </c>
      <c r="G5" s="142">
        <v>41</v>
      </c>
      <c r="H5" s="107">
        <f t="shared" ref="H5:H22" si="0">ROUND(E5*F5*1.84*(G5/60)*0.01,2)</f>
        <v>3.69</v>
      </c>
      <c r="I5" s="144">
        <v>14.512195121951219</v>
      </c>
      <c r="J5" s="142">
        <v>7.170731707317074E-2</v>
      </c>
      <c r="K5" s="142">
        <v>41</v>
      </c>
      <c r="L5" s="109">
        <f t="shared" ref="L5:L22" si="1">I5*J5*1.84*(K5/60)*0.01</f>
        <v>1.3084195121951222E-2</v>
      </c>
      <c r="M5" s="224">
        <f t="shared" ref="M5:M22" si="2">H5-L5</f>
        <v>3.6769158048780488</v>
      </c>
      <c r="N5" s="224">
        <f>M5</f>
        <v>3.6769158048780488</v>
      </c>
      <c r="O5" s="110">
        <f t="shared" ref="O5:O22" si="3">ROUND(M5/H5*100,2)</f>
        <v>99.65</v>
      </c>
      <c r="P5" s="144">
        <v>2.4837209302325571</v>
      </c>
      <c r="Q5" s="142">
        <v>22.486782945736451</v>
      </c>
      <c r="R5" s="142">
        <v>43</v>
      </c>
      <c r="S5" s="146">
        <v>1.1000000000000001</v>
      </c>
      <c r="T5" s="114">
        <f>S5</f>
        <v>1.1000000000000001</v>
      </c>
      <c r="U5" s="115">
        <f>IFERROR(ROUND(S5/M5 *100,2),0)</f>
        <v>29.92</v>
      </c>
      <c r="W5" s="123"/>
      <c r="X5" s="123"/>
    </row>
    <row r="6" spans="1:24" ht="16.5" customHeight="1">
      <c r="A6" s="141">
        <v>46077</v>
      </c>
      <c r="B6" s="104">
        <v>2</v>
      </c>
      <c r="C6" s="105">
        <v>0.27083333333333331</v>
      </c>
      <c r="D6" s="226">
        <f t="shared" ref="D6:D20" si="4">D5+C6</f>
        <v>0.49999999999999994</v>
      </c>
      <c r="E6" s="142">
        <v>20.498076923077001</v>
      </c>
      <c r="F6" s="142">
        <v>11.000961538461512</v>
      </c>
      <c r="G6" s="143">
        <v>52</v>
      </c>
      <c r="H6" s="107">
        <f t="shared" si="0"/>
        <v>3.6</v>
      </c>
      <c r="I6" s="144">
        <v>14.384615384615385</v>
      </c>
      <c r="J6" s="142">
        <v>7.8269230769230758E-2</v>
      </c>
      <c r="K6" s="143">
        <v>52</v>
      </c>
      <c r="L6" s="109">
        <f t="shared" si="1"/>
        <v>1.7953917948717948E-2</v>
      </c>
      <c r="M6" s="224">
        <f t="shared" si="2"/>
        <v>3.5820460820512823</v>
      </c>
      <c r="N6" s="225">
        <f t="shared" ref="N6:N22" si="5">N5+M6</f>
        <v>7.2589618869293311</v>
      </c>
      <c r="O6" s="110">
        <f t="shared" si="3"/>
        <v>99.5</v>
      </c>
      <c r="P6" s="144">
        <v>0.96666666666666756</v>
      </c>
      <c r="Q6" s="142">
        <v>4.8850584795321614</v>
      </c>
      <c r="R6" s="145">
        <v>57</v>
      </c>
      <c r="S6" s="146">
        <v>0.35</v>
      </c>
      <c r="T6" s="114">
        <f t="shared" ref="T6:T21" si="6">T5+S6</f>
        <v>1.4500000000000002</v>
      </c>
      <c r="U6" s="115">
        <v>4.7699999999999996</v>
      </c>
      <c r="X6" s="123"/>
    </row>
    <row r="7" spans="1:24" ht="16.5" customHeight="1">
      <c r="A7" s="141">
        <v>46078</v>
      </c>
      <c r="B7" s="104">
        <v>3</v>
      </c>
      <c r="C7" s="105">
        <v>0.29097222222222224</v>
      </c>
      <c r="D7" s="227">
        <f t="shared" si="4"/>
        <v>0.79097222222222219</v>
      </c>
      <c r="E7" s="142">
        <v>17.328571428571404</v>
      </c>
      <c r="F7" s="142">
        <v>10.969047619047599</v>
      </c>
      <c r="G7" s="143">
        <v>42</v>
      </c>
      <c r="H7" s="107">
        <f t="shared" si="0"/>
        <v>2.4500000000000002</v>
      </c>
      <c r="I7" s="144">
        <v>15.071428571428571</v>
      </c>
      <c r="J7" s="142">
        <v>2.5238095238095243E-2</v>
      </c>
      <c r="K7" s="143">
        <v>42</v>
      </c>
      <c r="L7" s="109">
        <f t="shared" si="1"/>
        <v>4.8992190476190491E-3</v>
      </c>
      <c r="M7" s="224">
        <f t="shared" si="2"/>
        <v>2.445100780952381</v>
      </c>
      <c r="N7" s="225">
        <f t="shared" si="5"/>
        <v>9.7040626678817112</v>
      </c>
      <c r="O7" s="110">
        <f t="shared" si="3"/>
        <v>99.8</v>
      </c>
      <c r="P7" s="144">
        <v>1.517786561264822</v>
      </c>
      <c r="Q7" s="142">
        <v>17.940513833992107</v>
      </c>
      <c r="R7" s="145">
        <v>42.166666666666664</v>
      </c>
      <c r="S7" s="146">
        <v>0.6</v>
      </c>
      <c r="T7" s="114">
        <f t="shared" si="6"/>
        <v>2.0500000000000003</v>
      </c>
      <c r="U7" s="115">
        <f t="shared" ref="U7:U20" si="7">IFERROR(ROUND(S7/M7 *100,2),0)</f>
        <v>24.54</v>
      </c>
    </row>
    <row r="8" spans="1:24" ht="16.5" customHeight="1">
      <c r="A8" s="141">
        <v>46079</v>
      </c>
      <c r="B8" s="104">
        <v>4</v>
      </c>
      <c r="C8" s="105">
        <v>0.3652777777777777</v>
      </c>
      <c r="D8" s="227">
        <f t="shared" si="4"/>
        <v>1.15625</v>
      </c>
      <c r="E8" s="142">
        <v>23.438095238095311</v>
      </c>
      <c r="F8" s="142">
        <v>19.261904761904766</v>
      </c>
      <c r="G8" s="143">
        <v>42</v>
      </c>
      <c r="H8" s="107">
        <f t="shared" si="0"/>
        <v>5.81</v>
      </c>
      <c r="I8" s="144">
        <v>15.714285714285714</v>
      </c>
      <c r="J8" s="142">
        <v>2.3809523809523808E-2</v>
      </c>
      <c r="K8" s="143">
        <v>42</v>
      </c>
      <c r="L8" s="109">
        <f t="shared" si="1"/>
        <v>4.8190476190476186E-3</v>
      </c>
      <c r="M8" s="224">
        <f t="shared" si="2"/>
        <v>5.8051809523809519</v>
      </c>
      <c r="N8" s="225">
        <f t="shared" si="5"/>
        <v>15.509243620262662</v>
      </c>
      <c r="O8" s="110">
        <f t="shared" si="3"/>
        <v>99.92</v>
      </c>
      <c r="P8" s="144">
        <v>1.103846153846149</v>
      </c>
      <c r="Q8" s="142">
        <v>25.20653846153845</v>
      </c>
      <c r="R8" s="145">
        <v>52</v>
      </c>
      <c r="S8" s="146">
        <v>1.32</v>
      </c>
      <c r="T8" s="114">
        <f t="shared" si="6"/>
        <v>3.37</v>
      </c>
      <c r="U8" s="115">
        <f t="shared" si="7"/>
        <v>22.74</v>
      </c>
    </row>
    <row r="9" spans="1:24" ht="16.5" customHeight="1">
      <c r="A9" s="141">
        <v>46080</v>
      </c>
      <c r="B9" s="104">
        <v>5</v>
      </c>
      <c r="C9" s="105">
        <v>0.31666666666666665</v>
      </c>
      <c r="D9" s="227">
        <f t="shared" si="4"/>
        <v>1.4729166666666667</v>
      </c>
      <c r="E9" s="142">
        <v>13.688372093023291</v>
      </c>
      <c r="F9" s="142">
        <v>11.988837209302313</v>
      </c>
      <c r="G9" s="143">
        <v>43</v>
      </c>
      <c r="H9" s="107">
        <v>2.0099999999999998</v>
      </c>
      <c r="I9" s="144">
        <v>12.186046511627907</v>
      </c>
      <c r="J9" s="142">
        <v>5.6279069767441861E-2</v>
      </c>
      <c r="K9" s="143">
        <v>43</v>
      </c>
      <c r="L9" s="109">
        <f t="shared" si="1"/>
        <v>9.0436713178294586E-3</v>
      </c>
      <c r="M9" s="224">
        <f t="shared" si="2"/>
        <v>2.0009563286821703</v>
      </c>
      <c r="N9" s="225">
        <f t="shared" si="5"/>
        <v>17.510199948944834</v>
      </c>
      <c r="O9" s="110">
        <f t="shared" si="3"/>
        <v>99.55</v>
      </c>
      <c r="P9" s="144">
        <v>1.2203389830508475</v>
      </c>
      <c r="Q9" s="142">
        <v>15.700734463276824</v>
      </c>
      <c r="R9" s="145">
        <v>59</v>
      </c>
      <c r="S9" s="146">
        <v>0.6</v>
      </c>
      <c r="T9" s="114">
        <f t="shared" si="6"/>
        <v>3.97</v>
      </c>
      <c r="U9" s="115">
        <f t="shared" si="7"/>
        <v>29.99</v>
      </c>
    </row>
    <row r="10" spans="1:24" ht="16.5" customHeight="1">
      <c r="A10" s="141">
        <v>46083</v>
      </c>
      <c r="B10" s="104">
        <v>6</v>
      </c>
      <c r="C10" s="105">
        <v>0.30694444444444446</v>
      </c>
      <c r="D10" s="227">
        <f t="shared" si="4"/>
        <v>1.7798611111111111</v>
      </c>
      <c r="E10" s="142">
        <v>23.94827586206895</v>
      </c>
      <c r="F10" s="142">
        <v>13.65172413793103</v>
      </c>
      <c r="G10" s="143">
        <v>29</v>
      </c>
      <c r="H10" s="107">
        <f t="shared" si="0"/>
        <v>2.91</v>
      </c>
      <c r="I10" s="144">
        <v>12.275862068965518</v>
      </c>
      <c r="J10" s="142">
        <v>9.2068965517241391E-2</v>
      </c>
      <c r="K10" s="143">
        <v>29</v>
      </c>
      <c r="L10" s="109">
        <f t="shared" si="1"/>
        <v>1.0051475862068969E-2</v>
      </c>
      <c r="M10" s="224">
        <f t="shared" si="2"/>
        <v>2.899948524137931</v>
      </c>
      <c r="N10" s="225">
        <f t="shared" si="5"/>
        <v>20.410148473082764</v>
      </c>
      <c r="O10" s="110">
        <f t="shared" si="3"/>
        <v>99.65</v>
      </c>
      <c r="P10" s="144">
        <v>0.98163934426229349</v>
      </c>
      <c r="Q10" s="142">
        <v>9.1590491803278997</v>
      </c>
      <c r="R10" s="145">
        <v>50.833333333333336</v>
      </c>
      <c r="S10" s="146">
        <v>0.7</v>
      </c>
      <c r="T10" s="114">
        <f t="shared" si="6"/>
        <v>4.67</v>
      </c>
      <c r="U10" s="115">
        <f t="shared" si="7"/>
        <v>24.14</v>
      </c>
    </row>
    <row r="11" spans="1:24" ht="16.5" customHeight="1">
      <c r="A11" s="141">
        <v>46085</v>
      </c>
      <c r="B11" s="104">
        <v>7</v>
      </c>
      <c r="C11" s="105">
        <v>0.31597222222222227</v>
      </c>
      <c r="D11" s="227">
        <f t="shared" si="4"/>
        <v>2.0958333333333332</v>
      </c>
      <c r="E11" s="142">
        <v>17.84999999999998</v>
      </c>
      <c r="F11" s="142">
        <v>14.334999999999948</v>
      </c>
      <c r="G11" s="143">
        <v>22</v>
      </c>
      <c r="H11" s="107">
        <f t="shared" si="0"/>
        <v>1.73</v>
      </c>
      <c r="I11" s="144">
        <v>15.454545454545455</v>
      </c>
      <c r="J11" s="142">
        <v>0.10454545454545454</v>
      </c>
      <c r="K11" s="143">
        <v>22</v>
      </c>
      <c r="L11" s="109">
        <f t="shared" si="1"/>
        <v>1.090060606060606E-2</v>
      </c>
      <c r="M11" s="224">
        <f t="shared" si="2"/>
        <v>1.7190993939393939</v>
      </c>
      <c r="N11" s="225">
        <f t="shared" si="5"/>
        <v>22.129247867022158</v>
      </c>
      <c r="O11" s="110">
        <f t="shared" si="3"/>
        <v>99.37</v>
      </c>
      <c r="P11" s="144">
        <v>2.4016666666666664</v>
      </c>
      <c r="Q11" s="142">
        <v>54.160944444444482</v>
      </c>
      <c r="R11" s="145">
        <v>60</v>
      </c>
      <c r="S11" s="146">
        <v>2.5</v>
      </c>
      <c r="T11" s="114">
        <f t="shared" si="6"/>
        <v>7.17</v>
      </c>
      <c r="U11" s="115">
        <f t="shared" si="7"/>
        <v>145.41999999999999</v>
      </c>
    </row>
    <row r="12" spans="1:24" ht="16.5" customHeight="1">
      <c r="A12" s="141">
        <v>46086</v>
      </c>
      <c r="B12" s="104">
        <v>8</v>
      </c>
      <c r="C12" s="105">
        <v>0.27847222222222223</v>
      </c>
      <c r="D12" s="227">
        <f t="shared" si="4"/>
        <v>2.3743055555555554</v>
      </c>
      <c r="E12" s="142">
        <v>22.911538461538424</v>
      </c>
      <c r="F12" s="142">
        <v>14.148076923076914</v>
      </c>
      <c r="G12" s="143">
        <v>26</v>
      </c>
      <c r="H12" s="107">
        <f t="shared" si="0"/>
        <v>2.58</v>
      </c>
      <c r="I12" s="144">
        <v>14.538461538461538</v>
      </c>
      <c r="J12" s="142">
        <v>0.105</v>
      </c>
      <c r="K12" s="143">
        <v>26</v>
      </c>
      <c r="L12" s="109">
        <f t="shared" si="1"/>
        <v>1.2171600000000001E-2</v>
      </c>
      <c r="M12" s="224">
        <f t="shared" si="2"/>
        <v>2.5678284000000002</v>
      </c>
      <c r="N12" s="225">
        <f t="shared" si="5"/>
        <v>24.697076267022158</v>
      </c>
      <c r="O12" s="110">
        <f t="shared" si="3"/>
        <v>99.53</v>
      </c>
      <c r="P12" s="144">
        <v>0.99999999999999889</v>
      </c>
      <c r="Q12" s="142">
        <v>7.2979084967320276</v>
      </c>
      <c r="R12" s="145">
        <v>51</v>
      </c>
      <c r="S12" s="146">
        <v>0.5</v>
      </c>
      <c r="T12" s="114">
        <f t="shared" si="6"/>
        <v>7.67</v>
      </c>
      <c r="U12" s="115">
        <f t="shared" si="7"/>
        <v>19.47</v>
      </c>
    </row>
    <row r="13" spans="1:24" ht="16.5" customHeight="1">
      <c r="A13" s="141">
        <v>46087</v>
      </c>
      <c r="B13" s="104">
        <v>9</v>
      </c>
      <c r="C13" s="105">
        <v>0.2729166666666667</v>
      </c>
      <c r="D13" s="227">
        <f t="shared" si="4"/>
        <v>2.6472222222222221</v>
      </c>
      <c r="E13" s="142">
        <v>15.795833333333368</v>
      </c>
      <c r="F13" s="142">
        <v>13.433749999999996</v>
      </c>
      <c r="G13" s="143">
        <v>24</v>
      </c>
      <c r="H13" s="107">
        <f t="shared" si="0"/>
        <v>1.56</v>
      </c>
      <c r="I13" s="144">
        <v>15</v>
      </c>
      <c r="J13" s="142">
        <v>0.12749999999999997</v>
      </c>
      <c r="K13" s="143">
        <v>24</v>
      </c>
      <c r="L13" s="109">
        <f t="shared" si="1"/>
        <v>1.4076E-2</v>
      </c>
      <c r="M13" s="224">
        <f t="shared" si="2"/>
        <v>1.5459240000000001</v>
      </c>
      <c r="N13" s="225">
        <f t="shared" si="5"/>
        <v>26.243000267022158</v>
      </c>
      <c r="O13" s="110">
        <f t="shared" si="3"/>
        <v>99.1</v>
      </c>
      <c r="P13" s="144">
        <v>0.90465116279069779</v>
      </c>
      <c r="Q13" s="142">
        <v>2.621279069767442</v>
      </c>
      <c r="R13" s="145">
        <v>43</v>
      </c>
      <c r="S13" s="146">
        <v>0.04</v>
      </c>
      <c r="T13" s="114">
        <f t="shared" si="6"/>
        <v>7.71</v>
      </c>
      <c r="U13" s="115">
        <f t="shared" si="7"/>
        <v>2.59</v>
      </c>
    </row>
    <row r="14" spans="1:24" ht="16.5" customHeight="1">
      <c r="A14" s="141">
        <v>46090</v>
      </c>
      <c r="B14" s="104">
        <v>10</v>
      </c>
      <c r="C14" s="105">
        <v>0.3263888888888889</v>
      </c>
      <c r="D14" s="227">
        <f t="shared" si="4"/>
        <v>2.973611111111111</v>
      </c>
      <c r="E14" s="106">
        <v>24.5</v>
      </c>
      <c r="F14" s="106">
        <v>14.001304347826096</v>
      </c>
      <c r="G14" s="112">
        <v>23</v>
      </c>
      <c r="H14" s="107">
        <f t="shared" si="0"/>
        <v>2.42</v>
      </c>
      <c r="I14" s="108">
        <v>18</v>
      </c>
      <c r="J14" s="106">
        <v>0.15695652173913049</v>
      </c>
      <c r="K14" s="112">
        <v>23</v>
      </c>
      <c r="L14" s="109">
        <f t="shared" si="1"/>
        <v>1.9927200000000009E-2</v>
      </c>
      <c r="M14" s="224">
        <f t="shared" si="2"/>
        <v>2.4000727999999998</v>
      </c>
      <c r="N14" s="225">
        <f t="shared" si="5"/>
        <v>28.643073067022158</v>
      </c>
      <c r="O14" s="110">
        <f t="shared" si="3"/>
        <v>99.18</v>
      </c>
      <c r="P14" s="108">
        <v>0.54835164835164785</v>
      </c>
      <c r="Q14" s="106">
        <v>41.742307692307719</v>
      </c>
      <c r="R14" s="116">
        <v>91</v>
      </c>
      <c r="S14" s="113">
        <v>0.83</v>
      </c>
      <c r="T14" s="114">
        <f t="shared" si="6"/>
        <v>8.5399999999999991</v>
      </c>
      <c r="U14" s="115">
        <f t="shared" si="7"/>
        <v>34.58</v>
      </c>
    </row>
    <row r="15" spans="1:24" ht="16.5" customHeight="1">
      <c r="A15" s="141">
        <v>46091</v>
      </c>
      <c r="B15" s="104">
        <v>11</v>
      </c>
      <c r="C15" s="105">
        <v>0.28541666666666671</v>
      </c>
      <c r="D15" s="227">
        <f t="shared" si="4"/>
        <v>3.2590277777777779</v>
      </c>
      <c r="E15" s="106">
        <v>24.194999999999951</v>
      </c>
      <c r="F15" s="106">
        <v>13.953000000000008</v>
      </c>
      <c r="G15" s="112">
        <v>20</v>
      </c>
      <c r="H15" s="107">
        <f t="shared" si="0"/>
        <v>2.0699999999999998</v>
      </c>
      <c r="I15" s="108">
        <v>18</v>
      </c>
      <c r="J15" s="106">
        <v>0.154</v>
      </c>
      <c r="K15" s="112">
        <v>20</v>
      </c>
      <c r="L15" s="109">
        <f t="shared" si="1"/>
        <v>1.7001599999999999E-2</v>
      </c>
      <c r="M15" s="224">
        <f t="shared" si="2"/>
        <v>2.0529983999999999</v>
      </c>
      <c r="N15" s="225">
        <f t="shared" si="5"/>
        <v>30.696071467022158</v>
      </c>
      <c r="O15" s="110">
        <f t="shared" si="3"/>
        <v>99.18</v>
      </c>
      <c r="P15" s="108">
        <v>2.0212121212121215</v>
      </c>
      <c r="Q15" s="106">
        <v>48.609040404040421</v>
      </c>
      <c r="R15" s="116">
        <v>33</v>
      </c>
      <c r="S15" s="113">
        <v>0.85</v>
      </c>
      <c r="T15" s="114">
        <f t="shared" si="6"/>
        <v>9.3899999999999988</v>
      </c>
      <c r="U15" s="115">
        <f t="shared" si="7"/>
        <v>41.4</v>
      </c>
    </row>
    <row r="16" spans="1:24" ht="16.5" customHeight="1">
      <c r="A16" s="141">
        <v>46092</v>
      </c>
      <c r="B16" s="104">
        <v>12</v>
      </c>
      <c r="C16" s="105">
        <v>0.30763888888888885</v>
      </c>
      <c r="D16" s="227">
        <f t="shared" si="4"/>
        <v>3.5666666666666669</v>
      </c>
      <c r="E16" s="106">
        <v>25.264705882352942</v>
      </c>
      <c r="F16" s="106">
        <v>14</v>
      </c>
      <c r="G16" s="112">
        <v>17</v>
      </c>
      <c r="H16" s="107">
        <f t="shared" si="0"/>
        <v>1.84</v>
      </c>
      <c r="I16" s="108">
        <v>16</v>
      </c>
      <c r="J16" s="106">
        <v>0.12588235294117647</v>
      </c>
      <c r="K16" s="112">
        <v>17</v>
      </c>
      <c r="L16" s="109">
        <f t="shared" si="1"/>
        <v>1.0500266666666667E-2</v>
      </c>
      <c r="M16" s="224">
        <f t="shared" si="2"/>
        <v>1.8294997333333334</v>
      </c>
      <c r="N16" s="225">
        <f t="shared" si="5"/>
        <v>32.525571200355493</v>
      </c>
      <c r="O16" s="110">
        <f t="shared" si="3"/>
        <v>99.43</v>
      </c>
      <c r="P16" s="108">
        <v>2.2874773139745894</v>
      </c>
      <c r="Q16" s="106">
        <v>42.147041742286788</v>
      </c>
      <c r="R16" s="116">
        <v>91.833333333333329</v>
      </c>
      <c r="S16" s="113">
        <v>2.81</v>
      </c>
      <c r="T16" s="114">
        <f t="shared" si="6"/>
        <v>12.2</v>
      </c>
      <c r="U16" s="115">
        <f t="shared" si="7"/>
        <v>153.59</v>
      </c>
    </row>
    <row r="17" spans="1:28" ht="16.5" customHeight="1">
      <c r="A17" s="141">
        <v>46093</v>
      </c>
      <c r="B17" s="104">
        <v>13</v>
      </c>
      <c r="C17" s="105">
        <v>0.27013888888888887</v>
      </c>
      <c r="D17" s="227">
        <f t="shared" si="4"/>
        <v>3.8368055555555558</v>
      </c>
      <c r="E17" s="106">
        <v>22.906666666666677</v>
      </c>
      <c r="F17" s="106">
        <v>14.093333333333327</v>
      </c>
      <c r="G17" s="112">
        <v>15</v>
      </c>
      <c r="H17" s="107">
        <f t="shared" si="0"/>
        <v>1.49</v>
      </c>
      <c r="I17" s="108">
        <v>18</v>
      </c>
      <c r="J17" s="106">
        <v>0.14399999999999996</v>
      </c>
      <c r="K17" s="112">
        <v>15</v>
      </c>
      <c r="L17" s="109">
        <f t="shared" si="1"/>
        <v>1.1923199999999997E-2</v>
      </c>
      <c r="M17" s="224">
        <f t="shared" si="2"/>
        <v>1.4780768</v>
      </c>
      <c r="N17" s="225">
        <f t="shared" si="5"/>
        <v>34.00364800035549</v>
      </c>
      <c r="O17" s="110">
        <f t="shared" si="3"/>
        <v>99.2</v>
      </c>
      <c r="P17" s="108">
        <v>2.3217391304347825</v>
      </c>
      <c r="Q17" s="106">
        <v>65.015507246376842</v>
      </c>
      <c r="R17" s="116">
        <v>46</v>
      </c>
      <c r="S17" s="113">
        <v>2</v>
      </c>
      <c r="T17" s="114">
        <f t="shared" si="6"/>
        <v>14.2</v>
      </c>
      <c r="U17" s="115">
        <f t="shared" si="7"/>
        <v>135.31</v>
      </c>
    </row>
    <row r="18" spans="1:28" ht="16.5" customHeight="1">
      <c r="A18" s="141">
        <v>46094</v>
      </c>
      <c r="B18" s="104">
        <v>14</v>
      </c>
      <c r="C18" s="105">
        <v>0.33055555555555555</v>
      </c>
      <c r="D18" s="227">
        <f t="shared" si="4"/>
        <v>4.1673611111111111</v>
      </c>
      <c r="E18" s="106">
        <v>24.66956521739127</v>
      </c>
      <c r="F18" s="106">
        <v>11.583913043478271</v>
      </c>
      <c r="G18" s="112">
        <v>23</v>
      </c>
      <c r="H18" s="107">
        <f t="shared" si="0"/>
        <v>2.02</v>
      </c>
      <c r="I18" s="108">
        <v>16</v>
      </c>
      <c r="J18" s="106">
        <v>0.16304347826086948</v>
      </c>
      <c r="K18" s="112">
        <v>23</v>
      </c>
      <c r="L18" s="109">
        <f t="shared" si="1"/>
        <v>1.8399999999999996E-2</v>
      </c>
      <c r="M18" s="224">
        <f t="shared" si="2"/>
        <v>2.0015999999999998</v>
      </c>
      <c r="N18" s="225">
        <f t="shared" si="5"/>
        <v>36.005248000355493</v>
      </c>
      <c r="O18" s="110">
        <f t="shared" si="3"/>
        <v>99.09</v>
      </c>
      <c r="P18" s="108">
        <v>2.1764705882352935</v>
      </c>
      <c r="Q18" s="106">
        <v>49.719019607843137</v>
      </c>
      <c r="R18" s="116">
        <v>119</v>
      </c>
      <c r="S18" s="113">
        <v>3.98</v>
      </c>
      <c r="T18" s="114">
        <f t="shared" si="6"/>
        <v>18.18</v>
      </c>
      <c r="U18" s="115">
        <f t="shared" si="7"/>
        <v>198.84</v>
      </c>
    </row>
    <row r="19" spans="1:28" ht="16.5" customHeight="1">
      <c r="A19" s="141">
        <v>46097</v>
      </c>
      <c r="B19" s="104">
        <v>15</v>
      </c>
      <c r="C19" s="105">
        <v>0.28124999999999994</v>
      </c>
      <c r="D19" s="227">
        <f t="shared" si="4"/>
        <v>4.4486111111111111</v>
      </c>
      <c r="E19" s="106">
        <v>13.361538461538448</v>
      </c>
      <c r="F19" s="106">
        <v>13.692307692307704</v>
      </c>
      <c r="G19" s="112">
        <v>13</v>
      </c>
      <c r="H19" s="107">
        <f t="shared" si="0"/>
        <v>0.73</v>
      </c>
      <c r="I19" s="108">
        <v>18</v>
      </c>
      <c r="J19" s="106">
        <v>0.14846153846153845</v>
      </c>
      <c r="K19" s="112">
        <v>13</v>
      </c>
      <c r="L19" s="109">
        <f t="shared" si="1"/>
        <v>1.0653600000000001E-2</v>
      </c>
      <c r="M19" s="224">
        <f t="shared" si="2"/>
        <v>0.71934639999999994</v>
      </c>
      <c r="N19" s="225">
        <f t="shared" si="5"/>
        <v>36.724594400355492</v>
      </c>
      <c r="O19" s="110">
        <f t="shared" si="3"/>
        <v>98.54</v>
      </c>
      <c r="P19" s="108">
        <v>1.7214285714285669</v>
      </c>
      <c r="Q19" s="106">
        <v>5.4480952380952354</v>
      </c>
      <c r="R19" s="116">
        <v>28</v>
      </c>
      <c r="S19" s="113">
        <v>0.15</v>
      </c>
      <c r="T19" s="114">
        <f t="shared" si="6"/>
        <v>18.329999999999998</v>
      </c>
      <c r="U19" s="115">
        <f t="shared" si="7"/>
        <v>20.85</v>
      </c>
    </row>
    <row r="20" spans="1:28" ht="16.5" customHeight="1">
      <c r="A20" s="141">
        <v>46098</v>
      </c>
      <c r="B20" s="104">
        <v>16</v>
      </c>
      <c r="C20" s="105">
        <v>0.25972222222222219</v>
      </c>
      <c r="D20" s="227">
        <f t="shared" si="4"/>
        <v>4.708333333333333</v>
      </c>
      <c r="E20" s="106">
        <v>17.426315789473698</v>
      </c>
      <c r="F20" s="106">
        <v>13.799999999999972</v>
      </c>
      <c r="G20" s="112">
        <v>19</v>
      </c>
      <c r="H20" s="107">
        <f t="shared" si="0"/>
        <v>1.4</v>
      </c>
      <c r="I20" s="108">
        <v>16</v>
      </c>
      <c r="J20" s="106">
        <v>0.11947368421052629</v>
      </c>
      <c r="K20" s="112">
        <v>19</v>
      </c>
      <c r="L20" s="109">
        <f t="shared" si="1"/>
        <v>1.1138133333333331E-2</v>
      </c>
      <c r="M20" s="224">
        <f t="shared" si="2"/>
        <v>1.3888618666666666</v>
      </c>
      <c r="N20" s="225">
        <f t="shared" si="5"/>
        <v>38.113456267022158</v>
      </c>
      <c r="O20" s="110">
        <f t="shared" si="3"/>
        <v>99.2</v>
      </c>
      <c r="P20" s="108">
        <v>1.4000000000000001</v>
      </c>
      <c r="Q20" s="106">
        <v>3.9227419354838702</v>
      </c>
      <c r="R20" s="116">
        <v>31</v>
      </c>
      <c r="S20" s="113">
        <v>0.13</v>
      </c>
      <c r="T20" s="114">
        <f t="shared" si="6"/>
        <v>18.459999999999997</v>
      </c>
      <c r="U20" s="115">
        <f t="shared" si="7"/>
        <v>9.36</v>
      </c>
    </row>
    <row r="21" spans="1:28" ht="16.5" customHeight="1">
      <c r="A21" s="141">
        <v>46099</v>
      </c>
      <c r="B21" s="104">
        <v>17</v>
      </c>
      <c r="C21" s="105">
        <v>0.22638888888888892</v>
      </c>
      <c r="D21" s="227">
        <v>8.5284722222222236</v>
      </c>
      <c r="E21" s="106">
        <v>14.18571428571429</v>
      </c>
      <c r="F21" s="106">
        <v>13.878571428571409</v>
      </c>
      <c r="G21" s="124">
        <v>14</v>
      </c>
      <c r="H21" s="107">
        <f t="shared" si="0"/>
        <v>0.85</v>
      </c>
      <c r="I21" s="108">
        <v>16</v>
      </c>
      <c r="J21" s="106">
        <v>0.2</v>
      </c>
      <c r="K21" s="112">
        <v>14</v>
      </c>
      <c r="L21" s="109">
        <f>I21*J21*1.84*(K21/60)*0.01</f>
        <v>1.3738666666666668E-2</v>
      </c>
      <c r="M21" s="224">
        <f>H21-L21</f>
        <v>0.8362613333333333</v>
      </c>
      <c r="N21" s="225">
        <f t="shared" si="5"/>
        <v>38.949717600355491</v>
      </c>
      <c r="O21" s="110">
        <f>ROUND(M21/H21*100,2)</f>
        <v>98.38</v>
      </c>
      <c r="P21" s="108">
        <v>2.3923076923076949</v>
      </c>
      <c r="Q21" s="106">
        <v>8.2163461538461462</v>
      </c>
      <c r="R21" s="116">
        <v>26</v>
      </c>
      <c r="S21" s="113">
        <v>0.19</v>
      </c>
      <c r="T21" s="114">
        <f t="shared" si="6"/>
        <v>18.649999999999999</v>
      </c>
      <c r="U21" s="115">
        <f>IFERROR(ROUND(S21/M21 *100,2),0)</f>
        <v>22.72</v>
      </c>
    </row>
    <row r="22" spans="1:28" ht="16.5" customHeight="1">
      <c r="A22" s="141">
        <v>46100</v>
      </c>
      <c r="B22" s="104">
        <v>18</v>
      </c>
      <c r="C22" s="105">
        <v>0.30347222222222225</v>
      </c>
      <c r="D22" s="227">
        <f>D21+C22</f>
        <v>8.8319444444444457</v>
      </c>
      <c r="E22" s="106">
        <v>13.866666666666685</v>
      </c>
      <c r="F22" s="112">
        <v>12.099999999999993</v>
      </c>
      <c r="G22" s="112">
        <v>18</v>
      </c>
      <c r="H22" s="107">
        <f t="shared" si="0"/>
        <v>0.93</v>
      </c>
      <c r="I22" s="124">
        <v>14</v>
      </c>
      <c r="J22" s="106">
        <v>6.4814814814814811E-2</v>
      </c>
      <c r="K22" s="112">
        <v>18</v>
      </c>
      <c r="L22" s="109">
        <f t="shared" si="1"/>
        <v>5.0088888888888882E-3</v>
      </c>
      <c r="M22" s="224">
        <f t="shared" si="2"/>
        <v>0.92499111111111121</v>
      </c>
      <c r="N22" s="225">
        <f t="shared" si="5"/>
        <v>39.874708711466603</v>
      </c>
      <c r="O22" s="110">
        <f t="shared" si="3"/>
        <v>99.46</v>
      </c>
      <c r="P22" s="108">
        <v>1.2687500000000003</v>
      </c>
      <c r="Q22" s="106">
        <v>15.782239583333336</v>
      </c>
      <c r="R22" s="116">
        <v>32</v>
      </c>
      <c r="S22" s="113">
        <v>0.01</v>
      </c>
      <c r="T22" s="114">
        <f>T21+S22</f>
        <v>18.66</v>
      </c>
      <c r="U22" s="115">
        <f>IFERROR(ROUND(S22/M22 *100,2),0)</f>
        <v>1.08</v>
      </c>
    </row>
    <row r="23" spans="1:28" ht="16.5" customHeight="1" thickBot="1">
      <c r="A23" s="117" t="s">
        <v>19</v>
      </c>
      <c r="B23" s="118"/>
      <c r="C23" s="119"/>
      <c r="D23" s="119">
        <f>D22</f>
        <v>8.8319444444444457</v>
      </c>
      <c r="E23" s="121">
        <f>AVERAGE(E5:E22)</f>
        <v>20.040829794972876</v>
      </c>
      <c r="F23" s="118"/>
      <c r="G23" s="118"/>
      <c r="H23" s="121">
        <f>AVERAGE(H5:H22)</f>
        <v>2.2272222222222222</v>
      </c>
      <c r="I23" s="118"/>
      <c r="J23" s="118"/>
      <c r="K23" s="118"/>
      <c r="L23" s="120">
        <f>SUM(L5:L22)</f>
        <v>0.21529128853339594</v>
      </c>
      <c r="M23" s="121">
        <f>SUM(M5:M22)</f>
        <v>39.874708711466603</v>
      </c>
      <c r="N23" s="121">
        <f>N22</f>
        <v>39.874708711466603</v>
      </c>
      <c r="O23" s="121">
        <f>AVERAGE(O5:O22)</f>
        <v>99.318333333333328</v>
      </c>
      <c r="P23" s="118"/>
      <c r="Q23" s="118"/>
      <c r="R23" s="118"/>
      <c r="S23" s="118"/>
      <c r="T23" s="118">
        <f>T22</f>
        <v>18.66</v>
      </c>
      <c r="U23" s="118"/>
    </row>
    <row r="24" spans="1:28" ht="16.5" customHeight="1"/>
    <row r="25" spans="1:28" ht="16.5" customHeight="1"/>
    <row r="26" spans="1:28" ht="16.5" customHeight="1"/>
    <row r="27" spans="1:28" ht="16.5" customHeight="1">
      <c r="B27" s="82" t="s">
        <v>20</v>
      </c>
      <c r="L27" s="82" t="s">
        <v>21</v>
      </c>
      <c r="P27" s="82" t="s">
        <v>22</v>
      </c>
      <c r="AB27" s="40" t="s">
        <v>23</v>
      </c>
    </row>
    <row r="28" spans="1:28" ht="16.5" customHeight="1"/>
    <row r="29" spans="1:28" ht="16.5" customHeight="1"/>
    <row r="30" spans="1:28" ht="16.5" customHeight="1"/>
    <row r="31" spans="1:28" ht="16.5" customHeight="1"/>
    <row r="32" spans="1:2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spans="28:28" ht="16.5" customHeight="1"/>
    <row r="50" spans="28:28" ht="16.5" customHeight="1"/>
    <row r="51" spans="28:28" ht="16.5" customHeight="1"/>
    <row r="52" spans="28:28" ht="16.5" customHeight="1"/>
    <row r="53" spans="28:28" ht="16.5" customHeight="1"/>
    <row r="54" spans="28:28" ht="16.5" customHeight="1"/>
    <row r="55" spans="28:28" ht="16.5" customHeight="1"/>
    <row r="56" spans="28:28" ht="16.5" customHeight="1"/>
    <row r="57" spans="28:28" ht="16.5" customHeight="1"/>
    <row r="58" spans="28:28" ht="16.5" customHeight="1"/>
    <row r="59" spans="28:28" ht="16.5" customHeight="1">
      <c r="AB59" s="40" t="s">
        <v>26</v>
      </c>
    </row>
    <row r="60" spans="28:28" ht="16.5" customHeight="1"/>
    <row r="61" spans="28:28" ht="16.5" customHeight="1"/>
    <row r="62" spans="28:28" ht="16.5" customHeight="1"/>
    <row r="63" spans="28:28" ht="16.5" customHeight="1"/>
    <row r="64" spans="28:28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spans="28:28" ht="16.5" customHeight="1"/>
    <row r="82" spans="28:28" ht="16.5" customHeight="1"/>
    <row r="83" spans="28:28" ht="16.5" customHeight="1"/>
    <row r="84" spans="28:28" ht="16.5" customHeight="1"/>
    <row r="85" spans="28:28" ht="16.5" customHeight="1"/>
    <row r="86" spans="28:28" ht="16.5" customHeight="1">
      <c r="AB86" s="40" t="s">
        <v>27</v>
      </c>
    </row>
    <row r="87" spans="28:28" ht="16.5" customHeight="1"/>
    <row r="88" spans="28:28" ht="16.5" customHeight="1"/>
    <row r="89" spans="28:28" ht="16.5" customHeight="1"/>
    <row r="90" spans="28:28" ht="16.5" customHeight="1"/>
    <row r="91" spans="28:28" ht="16.5" customHeight="1"/>
    <row r="92" spans="28:28" ht="16.5" customHeight="1"/>
    <row r="93" spans="28:28" ht="16.5" customHeight="1"/>
    <row r="94" spans="28:28" ht="16.5" customHeight="1"/>
    <row r="95" spans="28:28" ht="16.5" customHeight="1"/>
    <row r="96" spans="28:28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</sheetData>
  <mergeCells count="7">
    <mergeCell ref="M3:O3"/>
    <mergeCell ref="P3:U3"/>
    <mergeCell ref="B3:B4"/>
    <mergeCell ref="C3:C4"/>
    <mergeCell ref="D3:D4"/>
    <mergeCell ref="E3:H3"/>
    <mergeCell ref="I3:L3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5AB8-8516-4569-928D-059A7403ED24}">
  <dimension ref="A1:AI993"/>
  <sheetViews>
    <sheetView showGridLines="0" topLeftCell="A13" zoomScale="29" zoomScaleNormal="29" workbookViewId="0">
      <selection activeCell="I72" sqref="I72"/>
    </sheetView>
  </sheetViews>
  <sheetFormatPr defaultColWidth="12.6640625" defaultRowHeight="15" customHeight="1"/>
  <cols>
    <col min="1" max="1" width="17.109375" customWidth="1"/>
    <col min="2" max="3" width="14.44140625" customWidth="1"/>
    <col min="4" max="4" width="13.6640625" bestFit="1" customWidth="1"/>
    <col min="5" max="12" width="14.44140625" customWidth="1"/>
    <col min="13" max="13" width="62.6640625" bestFit="1" customWidth="1"/>
    <col min="14" max="14" width="62.6640625" customWidth="1"/>
    <col min="15" max="15" width="15.6640625" bestFit="1" customWidth="1"/>
    <col min="16" max="19" width="14.44140625" customWidth="1"/>
    <col min="20" max="20" width="38.88671875" customWidth="1"/>
    <col min="21" max="21" width="18.88671875" bestFit="1" customWidth="1"/>
    <col min="22" max="26" width="8.6640625" customWidth="1"/>
  </cols>
  <sheetData>
    <row r="1" spans="1:24" ht="16.5" customHeight="1">
      <c r="A1" s="82" t="s">
        <v>50</v>
      </c>
      <c r="C1" s="39"/>
    </row>
    <row r="2" spans="1:24" ht="16.5" customHeight="1" thickBot="1"/>
    <row r="3" spans="1:24" ht="21">
      <c r="B3" s="280" t="s">
        <v>1</v>
      </c>
      <c r="C3" s="281" t="s">
        <v>2</v>
      </c>
      <c r="D3" s="281" t="s">
        <v>51</v>
      </c>
      <c r="E3" s="279" t="s">
        <v>4</v>
      </c>
      <c r="F3" s="267"/>
      <c r="G3" s="267"/>
      <c r="H3" s="268"/>
      <c r="I3" s="269" t="s">
        <v>5</v>
      </c>
      <c r="J3" s="267"/>
      <c r="K3" s="267"/>
      <c r="L3" s="268"/>
      <c r="M3" s="270" t="s">
        <v>6</v>
      </c>
      <c r="N3" s="267"/>
      <c r="O3" s="268"/>
      <c r="P3" s="271" t="s">
        <v>7</v>
      </c>
      <c r="Q3" s="267"/>
      <c r="R3" s="267"/>
      <c r="S3" s="267"/>
      <c r="T3" s="267"/>
      <c r="U3" s="272"/>
    </row>
    <row r="4" spans="1:24" ht="75.599999999999994" customHeight="1">
      <c r="B4" s="263"/>
      <c r="C4" s="265"/>
      <c r="D4" s="265"/>
      <c r="E4" s="201" t="s">
        <v>8</v>
      </c>
      <c r="F4" s="202" t="s">
        <v>9</v>
      </c>
      <c r="G4" s="202" t="s">
        <v>10</v>
      </c>
      <c r="H4" s="2" t="s">
        <v>11</v>
      </c>
      <c r="I4" s="203" t="s">
        <v>8</v>
      </c>
      <c r="J4" s="204" t="s">
        <v>9</v>
      </c>
      <c r="K4" s="204" t="s">
        <v>10</v>
      </c>
      <c r="L4" s="3" t="s">
        <v>11</v>
      </c>
      <c r="M4" s="210" t="s">
        <v>52</v>
      </c>
      <c r="N4" s="210" t="s">
        <v>53</v>
      </c>
      <c r="O4" s="4" t="s">
        <v>14</v>
      </c>
      <c r="P4" s="205" t="s">
        <v>8</v>
      </c>
      <c r="Q4" s="206" t="s">
        <v>9</v>
      </c>
      <c r="R4" s="206" t="s">
        <v>10</v>
      </c>
      <c r="S4" s="84" t="s">
        <v>11</v>
      </c>
      <c r="T4" s="221" t="s">
        <v>54</v>
      </c>
      <c r="U4" s="85" t="s">
        <v>33</v>
      </c>
    </row>
    <row r="5" spans="1:24" ht="16.5" customHeight="1">
      <c r="A5" s="141">
        <v>46049</v>
      </c>
      <c r="B5" s="104">
        <v>1</v>
      </c>
      <c r="C5" s="105">
        <v>0.2048611111111111</v>
      </c>
      <c r="D5" s="223">
        <f>C5</f>
        <v>0.2048611111111111</v>
      </c>
      <c r="E5" s="142">
        <v>26.549999999999944</v>
      </c>
      <c r="F5" s="142">
        <v>11.80710526315786</v>
      </c>
      <c r="G5" s="142">
        <v>38</v>
      </c>
      <c r="H5" s="107">
        <f t="shared" ref="H5:H25" si="0">ROUND(E5*F5*1.84*(G5/60)*0.01,2)</f>
        <v>3.65</v>
      </c>
      <c r="I5" s="144">
        <v>11.710526315789474</v>
      </c>
      <c r="J5" s="142">
        <v>4.8421052631578941E-2</v>
      </c>
      <c r="K5" s="142">
        <v>38</v>
      </c>
      <c r="L5" s="109">
        <f t="shared" ref="L5:L25" si="1">I5*J5*1.84*(K5/60)*0.01</f>
        <v>6.6078596491228074E-3</v>
      </c>
      <c r="M5" s="224">
        <f t="shared" ref="M5:M25" si="2">H5-L5</f>
        <v>3.6433921403508771</v>
      </c>
      <c r="N5" s="224">
        <f>M5</f>
        <v>3.6433921403508771</v>
      </c>
      <c r="O5" s="110">
        <f t="shared" ref="O5:O25" si="3">ROUND(M5/H5*100,2)</f>
        <v>99.82</v>
      </c>
      <c r="P5" s="144">
        <v>3.3</v>
      </c>
      <c r="Q5" s="147">
        <v>100</v>
      </c>
      <c r="R5" s="143">
        <v>5</v>
      </c>
      <c r="S5" s="146">
        <v>0.51</v>
      </c>
      <c r="T5" s="114">
        <f>S5</f>
        <v>0.51</v>
      </c>
      <c r="U5" s="115">
        <f>IFERROR(ROUND(S5/M5 *100,2),0)</f>
        <v>14</v>
      </c>
      <c r="W5" s="123"/>
      <c r="X5" s="123"/>
    </row>
    <row r="6" spans="1:24" ht="16.5" customHeight="1">
      <c r="A6" s="141">
        <v>46050</v>
      </c>
      <c r="B6" s="104">
        <v>2</v>
      </c>
      <c r="C6" s="105">
        <v>0.13402777777777775</v>
      </c>
      <c r="D6" s="226">
        <f t="shared" ref="D6:D25" si="4">D5+C6</f>
        <v>0.33888888888888885</v>
      </c>
      <c r="E6" s="142">
        <v>16.666666666666661</v>
      </c>
      <c r="F6" s="142">
        <v>12.885238095238131</v>
      </c>
      <c r="G6" s="142">
        <v>21</v>
      </c>
      <c r="H6" s="107">
        <f t="shared" si="0"/>
        <v>1.38</v>
      </c>
      <c r="I6" s="144">
        <v>11.666666666666666</v>
      </c>
      <c r="J6" s="142">
        <v>0.88952380952380961</v>
      </c>
      <c r="K6" s="142">
        <v>21</v>
      </c>
      <c r="L6" s="109">
        <f t="shared" si="1"/>
        <v>6.6832888888888886E-2</v>
      </c>
      <c r="M6" s="224">
        <f t="shared" si="2"/>
        <v>1.313167111111111</v>
      </c>
      <c r="N6" s="225">
        <f>N5+M6</f>
        <v>4.9565592514619876</v>
      </c>
      <c r="O6" s="110">
        <f t="shared" si="3"/>
        <v>95.16</v>
      </c>
      <c r="P6" s="144">
        <v>0.47111111111111115</v>
      </c>
      <c r="Q6" s="147">
        <v>100</v>
      </c>
      <c r="R6" s="143">
        <v>45</v>
      </c>
      <c r="S6" s="146">
        <v>0.65</v>
      </c>
      <c r="T6" s="114">
        <f t="shared" ref="T6:T25" si="5">T5+S6</f>
        <v>1.1600000000000001</v>
      </c>
      <c r="U6" s="115">
        <v>4.7699999999999996</v>
      </c>
      <c r="X6" s="123"/>
    </row>
    <row r="7" spans="1:24" ht="16.5" customHeight="1">
      <c r="A7" s="141">
        <v>46051</v>
      </c>
      <c r="B7" s="104">
        <v>3</v>
      </c>
      <c r="C7" s="105">
        <v>0.18263888888888885</v>
      </c>
      <c r="D7" s="227">
        <f t="shared" si="4"/>
        <v>0.5215277777777777</v>
      </c>
      <c r="E7" s="142">
        <v>25.422222222222217</v>
      </c>
      <c r="F7" s="142">
        <v>12.929999999999991</v>
      </c>
      <c r="G7" s="142">
        <v>9</v>
      </c>
      <c r="H7" s="107">
        <f t="shared" si="0"/>
        <v>0.91</v>
      </c>
      <c r="I7" s="144">
        <v>11.333333333333334</v>
      </c>
      <c r="J7" s="142">
        <v>0.12222222222222225</v>
      </c>
      <c r="K7" s="142">
        <v>9</v>
      </c>
      <c r="L7" s="109">
        <f t="shared" si="1"/>
        <v>3.8231111111111122E-3</v>
      </c>
      <c r="M7" s="224">
        <f t="shared" si="2"/>
        <v>0.90617688888888892</v>
      </c>
      <c r="N7" s="225">
        <f t="shared" ref="N7:N38" si="6">N6+M7</f>
        <v>5.8627361403508766</v>
      </c>
      <c r="O7" s="110">
        <f t="shared" si="3"/>
        <v>99.58</v>
      </c>
      <c r="P7" s="144">
        <v>0</v>
      </c>
      <c r="Q7" s="142">
        <v>0</v>
      </c>
      <c r="R7" s="142">
        <v>0</v>
      </c>
      <c r="S7" s="146">
        <v>0</v>
      </c>
      <c r="T7" s="114">
        <f t="shared" si="5"/>
        <v>1.1600000000000001</v>
      </c>
      <c r="U7" s="115">
        <f t="shared" ref="U7:U25" si="7">IFERROR(ROUND(S7/M7 *100,2),0)</f>
        <v>0</v>
      </c>
    </row>
    <row r="8" spans="1:24" ht="16.5" customHeight="1">
      <c r="A8" s="141">
        <v>46055</v>
      </c>
      <c r="B8" s="104">
        <v>4</v>
      </c>
      <c r="C8" s="105">
        <v>0.23541666666666666</v>
      </c>
      <c r="D8" s="227">
        <f t="shared" si="4"/>
        <v>0.75694444444444442</v>
      </c>
      <c r="E8" s="142">
        <v>20.938181818181729</v>
      </c>
      <c r="F8" s="142">
        <v>13</v>
      </c>
      <c r="G8" s="142">
        <v>110</v>
      </c>
      <c r="H8" s="107">
        <f t="shared" si="0"/>
        <v>9.18</v>
      </c>
      <c r="I8" s="144">
        <v>11.563636363636364</v>
      </c>
      <c r="J8" s="142">
        <v>1.2636363636363637E-2</v>
      </c>
      <c r="K8" s="142">
        <v>110</v>
      </c>
      <c r="L8" s="109">
        <f t="shared" si="1"/>
        <v>4.9291927272727279E-3</v>
      </c>
      <c r="M8" s="224">
        <f t="shared" si="2"/>
        <v>9.1750708072727267</v>
      </c>
      <c r="N8" s="225">
        <f t="shared" si="6"/>
        <v>15.037806947623604</v>
      </c>
      <c r="O8" s="110">
        <f t="shared" si="3"/>
        <v>99.95</v>
      </c>
      <c r="P8" s="144">
        <v>4.3454545454545448</v>
      </c>
      <c r="Q8" s="147">
        <v>99.320909090909083</v>
      </c>
      <c r="R8" s="143">
        <v>11</v>
      </c>
      <c r="S8" s="146">
        <v>1.46</v>
      </c>
      <c r="T8" s="114">
        <f t="shared" si="5"/>
        <v>2.62</v>
      </c>
      <c r="U8" s="115">
        <f t="shared" si="7"/>
        <v>15.91</v>
      </c>
    </row>
    <row r="9" spans="1:24" ht="16.5" customHeight="1">
      <c r="A9" s="141">
        <v>46056</v>
      </c>
      <c r="B9" s="104">
        <v>5</v>
      </c>
      <c r="C9" s="105">
        <v>0.17291666666666661</v>
      </c>
      <c r="D9" s="227">
        <f t="shared" si="4"/>
        <v>0.92986111111111103</v>
      </c>
      <c r="E9" s="142">
        <v>15.26923076923072</v>
      </c>
      <c r="F9" s="142">
        <v>12.507884615384622</v>
      </c>
      <c r="G9" s="142">
        <v>52</v>
      </c>
      <c r="H9" s="107">
        <v>2.0099999999999998</v>
      </c>
      <c r="I9" s="144">
        <v>15</v>
      </c>
      <c r="J9" s="142">
        <v>3.096153846153846E-2</v>
      </c>
      <c r="K9" s="142">
        <v>52</v>
      </c>
      <c r="L9" s="109">
        <f t="shared" si="1"/>
        <v>7.4059999999999994E-3</v>
      </c>
      <c r="M9" s="224">
        <f t="shared" si="2"/>
        <v>2.0025939999999998</v>
      </c>
      <c r="N9" s="225">
        <f t="shared" si="6"/>
        <v>17.040400947623603</v>
      </c>
      <c r="O9" s="110">
        <f t="shared" si="3"/>
        <v>99.63</v>
      </c>
      <c r="P9" s="144" t="s">
        <v>18</v>
      </c>
      <c r="Q9" s="147" t="s">
        <v>18</v>
      </c>
      <c r="R9" s="143" t="s">
        <v>18</v>
      </c>
      <c r="S9" s="146">
        <v>0</v>
      </c>
      <c r="T9" s="114">
        <f t="shared" si="5"/>
        <v>2.62</v>
      </c>
      <c r="U9" s="115">
        <f t="shared" si="7"/>
        <v>0</v>
      </c>
    </row>
    <row r="10" spans="1:24" ht="16.5" customHeight="1">
      <c r="A10" s="141">
        <v>46057</v>
      </c>
      <c r="B10" s="104">
        <v>6</v>
      </c>
      <c r="C10" s="105">
        <v>0.21944444444444444</v>
      </c>
      <c r="D10" s="227">
        <f t="shared" si="4"/>
        <v>1.1493055555555554</v>
      </c>
      <c r="E10" s="142">
        <v>15.39999999999999</v>
      </c>
      <c r="F10" s="142">
        <v>13.014807692307738</v>
      </c>
      <c r="G10" s="142">
        <v>52</v>
      </c>
      <c r="H10" s="107">
        <f t="shared" si="0"/>
        <v>3.2</v>
      </c>
      <c r="I10" s="144">
        <v>13.923076923076923</v>
      </c>
      <c r="J10" s="142">
        <v>3.865384615384615E-2</v>
      </c>
      <c r="K10" s="142">
        <v>52</v>
      </c>
      <c r="L10" s="109">
        <f t="shared" si="1"/>
        <v>8.5821846153846144E-3</v>
      </c>
      <c r="M10" s="224">
        <f t="shared" si="2"/>
        <v>3.1914178153846158</v>
      </c>
      <c r="N10" s="225">
        <f t="shared" si="6"/>
        <v>20.231818763008217</v>
      </c>
      <c r="O10" s="110">
        <f t="shared" si="3"/>
        <v>99.73</v>
      </c>
      <c r="P10" s="144">
        <v>5.7857142857142856</v>
      </c>
      <c r="Q10" s="147">
        <v>99.76428571428572</v>
      </c>
      <c r="R10" s="143">
        <v>7</v>
      </c>
      <c r="S10" s="146">
        <v>1.24</v>
      </c>
      <c r="T10" s="114">
        <f t="shared" si="5"/>
        <v>3.8600000000000003</v>
      </c>
      <c r="U10" s="115">
        <f t="shared" si="7"/>
        <v>38.85</v>
      </c>
    </row>
    <row r="11" spans="1:24" ht="16.5" customHeight="1">
      <c r="A11" s="141">
        <v>46058</v>
      </c>
      <c r="B11" s="104">
        <v>7</v>
      </c>
      <c r="C11" s="105">
        <v>0.19861111111111113</v>
      </c>
      <c r="D11" s="227">
        <f t="shared" si="4"/>
        <v>1.3479166666666664</v>
      </c>
      <c r="E11" s="142">
        <v>23.320312500000085</v>
      </c>
      <c r="F11" s="142">
        <v>12.901093750000015</v>
      </c>
      <c r="G11" s="142">
        <v>64</v>
      </c>
      <c r="H11" s="107">
        <f t="shared" si="0"/>
        <v>5.9</v>
      </c>
      <c r="I11" s="144">
        <v>13</v>
      </c>
      <c r="J11" s="142">
        <v>4.0312499999999994E-2</v>
      </c>
      <c r="K11" s="142">
        <v>64</v>
      </c>
      <c r="L11" s="109">
        <f t="shared" si="1"/>
        <v>1.0285599999999997E-2</v>
      </c>
      <c r="M11" s="224">
        <f t="shared" si="2"/>
        <v>5.8897144000000008</v>
      </c>
      <c r="N11" s="225">
        <f t="shared" si="6"/>
        <v>26.121533163008216</v>
      </c>
      <c r="O11" s="110">
        <f t="shared" si="3"/>
        <v>99.83</v>
      </c>
      <c r="P11" s="144">
        <v>4.125</v>
      </c>
      <c r="Q11" s="147">
        <v>97.515000000000001</v>
      </c>
      <c r="R11" s="143">
        <v>12</v>
      </c>
      <c r="S11" s="146">
        <v>1.48</v>
      </c>
      <c r="T11" s="114">
        <f t="shared" si="5"/>
        <v>5.34</v>
      </c>
      <c r="U11" s="115">
        <f t="shared" si="7"/>
        <v>25.13</v>
      </c>
    </row>
    <row r="12" spans="1:24" ht="16.5" customHeight="1">
      <c r="A12" s="141">
        <v>46059</v>
      </c>
      <c r="B12" s="104">
        <v>8</v>
      </c>
      <c r="C12" s="105">
        <v>0.27430555555555558</v>
      </c>
      <c r="D12" s="227">
        <f t="shared" si="4"/>
        <v>1.622222222222222</v>
      </c>
      <c r="E12" s="142">
        <v>27.169230769230737</v>
      </c>
      <c r="F12" s="142">
        <v>12.3900000000001</v>
      </c>
      <c r="G12" s="142">
        <v>52</v>
      </c>
      <c r="H12" s="107">
        <f t="shared" si="0"/>
        <v>5.37</v>
      </c>
      <c r="I12" s="144">
        <v>13.807692307692308</v>
      </c>
      <c r="J12" s="142">
        <v>2.5576923076923077E-2</v>
      </c>
      <c r="K12" s="142">
        <v>52</v>
      </c>
      <c r="L12" s="109">
        <f t="shared" si="1"/>
        <v>5.6316974358974368E-3</v>
      </c>
      <c r="M12" s="224">
        <f t="shared" si="2"/>
        <v>5.3643683025641025</v>
      </c>
      <c r="N12" s="225">
        <f t="shared" si="6"/>
        <v>31.485901465572319</v>
      </c>
      <c r="O12" s="110">
        <f t="shared" si="3"/>
        <v>99.9</v>
      </c>
      <c r="P12" s="144">
        <v>2.6466666666666669</v>
      </c>
      <c r="Q12" s="147">
        <v>99.460666666666668</v>
      </c>
      <c r="R12" s="143">
        <v>15</v>
      </c>
      <c r="S12" s="146">
        <v>1.21</v>
      </c>
      <c r="T12" s="114">
        <f t="shared" si="5"/>
        <v>6.55</v>
      </c>
      <c r="U12" s="115">
        <f t="shared" si="7"/>
        <v>22.56</v>
      </c>
    </row>
    <row r="13" spans="1:24" ht="16.5" customHeight="1">
      <c r="A13" s="141">
        <v>46062</v>
      </c>
      <c r="B13" s="104">
        <v>9</v>
      </c>
      <c r="C13" s="105">
        <v>0.25625000000000003</v>
      </c>
      <c r="D13" s="227">
        <f t="shared" si="4"/>
        <v>1.8784722222222221</v>
      </c>
      <c r="E13" s="142">
        <v>22.317460317460363</v>
      </c>
      <c r="F13" s="142">
        <v>12.488253968254048</v>
      </c>
      <c r="G13" s="142">
        <v>63</v>
      </c>
      <c r="H13" s="107">
        <f t="shared" si="0"/>
        <v>5.38</v>
      </c>
      <c r="I13" s="144">
        <v>13.476190476190476</v>
      </c>
      <c r="J13" s="142">
        <v>2.7619047619047619E-2</v>
      </c>
      <c r="K13" s="142">
        <v>63</v>
      </c>
      <c r="L13" s="109">
        <f t="shared" si="1"/>
        <v>7.1908952380952389E-3</v>
      </c>
      <c r="M13" s="224">
        <f t="shared" si="2"/>
        <v>5.3728091047619051</v>
      </c>
      <c r="N13" s="225">
        <f t="shared" si="6"/>
        <v>36.858710570334225</v>
      </c>
      <c r="O13" s="110">
        <f t="shared" si="3"/>
        <v>99.87</v>
      </c>
      <c r="P13" s="144">
        <v>2.5466666666666677</v>
      </c>
      <c r="Q13" s="142">
        <v>56.583388888889111</v>
      </c>
      <c r="R13" s="142">
        <v>30</v>
      </c>
      <c r="S13" s="146">
        <v>1.33</v>
      </c>
      <c r="T13" s="114">
        <f t="shared" si="5"/>
        <v>7.88</v>
      </c>
      <c r="U13" s="115">
        <f t="shared" si="7"/>
        <v>24.75</v>
      </c>
    </row>
    <row r="14" spans="1:24" ht="16.5" customHeight="1">
      <c r="A14" s="141">
        <v>46063</v>
      </c>
      <c r="B14" s="104">
        <v>10</v>
      </c>
      <c r="C14" s="105">
        <v>0.15000000000000002</v>
      </c>
      <c r="D14" s="227">
        <f t="shared" si="4"/>
        <v>2.0284722222222222</v>
      </c>
      <c r="E14" s="106">
        <v>24.038983050847495</v>
      </c>
      <c r="F14" s="106">
        <v>12.311355932203433</v>
      </c>
      <c r="G14" s="106">
        <v>59</v>
      </c>
      <c r="H14" s="107">
        <f t="shared" si="0"/>
        <v>5.35</v>
      </c>
      <c r="I14" s="108">
        <v>13.677966101694915</v>
      </c>
      <c r="J14" s="106">
        <v>2.1864406779661019E-2</v>
      </c>
      <c r="K14" s="106">
        <v>59</v>
      </c>
      <c r="L14" s="109">
        <f t="shared" si="1"/>
        <v>5.4110033898305092E-3</v>
      </c>
      <c r="M14" s="224">
        <f t="shared" si="2"/>
        <v>5.3445889966101694</v>
      </c>
      <c r="N14" s="225">
        <f t="shared" si="6"/>
        <v>42.203299566944395</v>
      </c>
      <c r="O14" s="110">
        <f t="shared" si="3"/>
        <v>99.9</v>
      </c>
      <c r="P14" s="108">
        <v>1.8076923076923077</v>
      </c>
      <c r="Q14" s="106">
        <v>79.864006410256323</v>
      </c>
      <c r="R14" s="106">
        <v>52</v>
      </c>
      <c r="S14" s="113">
        <v>2.2999999999999998</v>
      </c>
      <c r="T14" s="114">
        <f t="shared" si="5"/>
        <v>10.18</v>
      </c>
      <c r="U14" s="115">
        <f t="shared" si="7"/>
        <v>43.03</v>
      </c>
    </row>
    <row r="15" spans="1:24" ht="16.5" customHeight="1">
      <c r="A15" s="141">
        <v>46064</v>
      </c>
      <c r="B15" s="104">
        <v>11</v>
      </c>
      <c r="C15" s="105">
        <v>0.26805555555555549</v>
      </c>
      <c r="D15" s="227">
        <f t="shared" si="4"/>
        <v>2.2965277777777775</v>
      </c>
      <c r="E15" s="106">
        <v>23.09852941176468</v>
      </c>
      <c r="F15" s="106">
        <v>12.578529411764729</v>
      </c>
      <c r="G15" s="106">
        <v>68</v>
      </c>
      <c r="H15" s="107">
        <f t="shared" si="0"/>
        <v>6.06</v>
      </c>
      <c r="I15" s="108">
        <v>11.882352941176471</v>
      </c>
      <c r="J15" s="106">
        <v>3.9705882352941174E-2</v>
      </c>
      <c r="K15" s="106">
        <v>68</v>
      </c>
      <c r="L15" s="109">
        <f t="shared" si="1"/>
        <v>9.8385882352941181E-3</v>
      </c>
      <c r="M15" s="224">
        <f t="shared" si="2"/>
        <v>6.0501614117647051</v>
      </c>
      <c r="N15" s="225">
        <f t="shared" si="6"/>
        <v>48.2534609787091</v>
      </c>
      <c r="O15" s="110">
        <f t="shared" si="3"/>
        <v>99.84</v>
      </c>
      <c r="P15" s="108">
        <v>0.66730769230769205</v>
      </c>
      <c r="Q15" s="106">
        <v>55.612532051281974</v>
      </c>
      <c r="R15" s="112">
        <v>104</v>
      </c>
      <c r="S15" s="113">
        <v>1.18</v>
      </c>
      <c r="T15" s="114">
        <f t="shared" si="5"/>
        <v>11.36</v>
      </c>
      <c r="U15" s="115">
        <f>IFERROR(ROUND(S15/M15 *100,2),0)</f>
        <v>19.5</v>
      </c>
    </row>
    <row r="16" spans="1:24" ht="16.5" customHeight="1">
      <c r="A16" s="141">
        <v>46065</v>
      </c>
      <c r="B16" s="104">
        <v>12</v>
      </c>
      <c r="C16" s="105">
        <v>0.32430555555555557</v>
      </c>
      <c r="D16" s="227">
        <f t="shared" si="4"/>
        <v>2.6208333333333331</v>
      </c>
      <c r="E16" s="106">
        <v>15.622448979591827</v>
      </c>
      <c r="F16" s="106">
        <v>14.550000000000081</v>
      </c>
      <c r="G16" s="106">
        <v>49</v>
      </c>
      <c r="H16" s="107">
        <f t="shared" si="0"/>
        <v>3.42</v>
      </c>
      <c r="I16" s="108">
        <v>17.489795918367346</v>
      </c>
      <c r="J16" s="106">
        <v>2.7551020408163263E-2</v>
      </c>
      <c r="K16" s="106">
        <v>49</v>
      </c>
      <c r="L16" s="109">
        <f t="shared" si="1"/>
        <v>7.2407755102040809E-3</v>
      </c>
      <c r="M16" s="224">
        <f t="shared" si="2"/>
        <v>3.412759224489796</v>
      </c>
      <c r="N16" s="225">
        <f t="shared" si="6"/>
        <v>51.666220203198897</v>
      </c>
      <c r="O16" s="110">
        <f t="shared" si="3"/>
        <v>99.79</v>
      </c>
      <c r="P16" s="108">
        <v>1.5452380952380893</v>
      </c>
      <c r="Q16" s="106">
        <v>47.983015873015866</v>
      </c>
      <c r="R16" s="112">
        <v>42</v>
      </c>
      <c r="S16" s="113">
        <v>0.95</v>
      </c>
      <c r="T16" s="114">
        <f t="shared" si="5"/>
        <v>12.309999999999999</v>
      </c>
      <c r="U16" s="115">
        <f t="shared" si="7"/>
        <v>27.84</v>
      </c>
    </row>
    <row r="17" spans="1:21" ht="16.5" customHeight="1">
      <c r="A17" s="141">
        <v>46066</v>
      </c>
      <c r="B17" s="104">
        <v>13</v>
      </c>
      <c r="C17" s="105">
        <v>0.22777777777777775</v>
      </c>
      <c r="D17" s="227">
        <f t="shared" si="4"/>
        <v>2.848611111111111</v>
      </c>
      <c r="E17" s="106">
        <v>22.47391304347828</v>
      </c>
      <c r="F17" s="106">
        <v>11.72543478260865</v>
      </c>
      <c r="G17" s="106">
        <v>46</v>
      </c>
      <c r="H17" s="107">
        <f t="shared" si="0"/>
        <v>3.72</v>
      </c>
      <c r="I17" s="108">
        <v>14</v>
      </c>
      <c r="J17" s="106">
        <v>2.2826086956521739E-2</v>
      </c>
      <c r="K17" s="106">
        <v>46</v>
      </c>
      <c r="L17" s="109">
        <f t="shared" si="1"/>
        <v>4.5079999999999999E-3</v>
      </c>
      <c r="M17" s="224">
        <f t="shared" si="2"/>
        <v>3.7154920000000002</v>
      </c>
      <c r="N17" s="225">
        <f t="shared" si="6"/>
        <v>55.381712203198894</v>
      </c>
      <c r="O17" s="110">
        <f t="shared" si="3"/>
        <v>99.88</v>
      </c>
      <c r="P17" s="108">
        <v>1.2090909090909085</v>
      </c>
      <c r="Q17" s="106">
        <v>27.986060606060605</v>
      </c>
      <c r="R17" s="112">
        <v>44</v>
      </c>
      <c r="S17" s="113">
        <v>0.46</v>
      </c>
      <c r="T17" s="114">
        <f t="shared" si="5"/>
        <v>12.77</v>
      </c>
      <c r="U17" s="115">
        <f t="shared" si="7"/>
        <v>12.38</v>
      </c>
    </row>
    <row r="18" spans="1:21" ht="16.5" customHeight="1">
      <c r="A18" s="141">
        <v>46069</v>
      </c>
      <c r="B18" s="104">
        <v>14</v>
      </c>
      <c r="C18" s="105">
        <v>0.26319444444444451</v>
      </c>
      <c r="D18" s="227">
        <f t="shared" si="4"/>
        <v>3.1118055555555557</v>
      </c>
      <c r="E18" s="106">
        <v>21.260869565217362</v>
      </c>
      <c r="F18" s="106">
        <v>11.517101449275415</v>
      </c>
      <c r="G18" s="112">
        <v>69</v>
      </c>
      <c r="H18" s="107">
        <f t="shared" si="0"/>
        <v>5.18</v>
      </c>
      <c r="I18" s="108">
        <v>12.478260869565217</v>
      </c>
      <c r="J18" s="106">
        <v>5.2608695652173923E-2</v>
      </c>
      <c r="K18" s="112">
        <v>69</v>
      </c>
      <c r="L18" s="109">
        <f t="shared" si="1"/>
        <v>1.3890800000000002E-2</v>
      </c>
      <c r="M18" s="224">
        <f t="shared" si="2"/>
        <v>5.1661091999999993</v>
      </c>
      <c r="N18" s="225">
        <f t="shared" si="6"/>
        <v>60.547821403198895</v>
      </c>
      <c r="O18" s="110">
        <f t="shared" si="3"/>
        <v>99.73</v>
      </c>
      <c r="P18" s="108">
        <v>2.0003257328990238</v>
      </c>
      <c r="Q18" s="106">
        <v>33.547752442996746</v>
      </c>
      <c r="R18" s="116">
        <v>51.166666666666664</v>
      </c>
      <c r="S18" s="113">
        <v>1.05</v>
      </c>
      <c r="T18" s="114">
        <f t="shared" si="5"/>
        <v>13.82</v>
      </c>
      <c r="U18" s="115">
        <f t="shared" si="7"/>
        <v>20.32</v>
      </c>
    </row>
    <row r="19" spans="1:21" ht="16.5" customHeight="1">
      <c r="A19" s="141">
        <v>46070</v>
      </c>
      <c r="B19" s="104">
        <v>15</v>
      </c>
      <c r="C19" s="105">
        <v>0.24722222222222223</v>
      </c>
      <c r="D19" s="227">
        <f t="shared" si="4"/>
        <v>3.3590277777777779</v>
      </c>
      <c r="E19" s="106">
        <v>22.272463768116005</v>
      </c>
      <c r="F19" s="106">
        <v>11.372753623188384</v>
      </c>
      <c r="G19" s="106">
        <v>69</v>
      </c>
      <c r="H19" s="107">
        <f t="shared" si="0"/>
        <v>5.36</v>
      </c>
      <c r="I19" s="108">
        <v>12.478260869565217</v>
      </c>
      <c r="J19" s="106">
        <v>5.2608695652173923E-2</v>
      </c>
      <c r="K19" s="106">
        <v>69</v>
      </c>
      <c r="L19" s="109">
        <f t="shared" si="1"/>
        <v>1.3890800000000002E-2</v>
      </c>
      <c r="M19" s="224">
        <f t="shared" si="2"/>
        <v>5.3461091999999999</v>
      </c>
      <c r="N19" s="225">
        <f t="shared" si="6"/>
        <v>65.893930603198896</v>
      </c>
      <c r="O19" s="110">
        <f t="shared" si="3"/>
        <v>99.74</v>
      </c>
      <c r="P19" s="108">
        <v>2.168085106382978</v>
      </c>
      <c r="Q19" s="106">
        <v>57.502978723404254</v>
      </c>
      <c r="R19" s="116">
        <v>47</v>
      </c>
      <c r="S19" s="113">
        <v>1.8</v>
      </c>
      <c r="T19" s="114">
        <f t="shared" si="5"/>
        <v>15.620000000000001</v>
      </c>
      <c r="U19" s="115">
        <f>IFERROR(ROUND(S19/M19 *100,2),0)</f>
        <v>33.67</v>
      </c>
    </row>
    <row r="20" spans="1:21" ht="16.5" customHeight="1">
      <c r="A20" s="141">
        <v>46071</v>
      </c>
      <c r="B20" s="104">
        <v>16</v>
      </c>
      <c r="C20" s="105">
        <v>0.23472222222222222</v>
      </c>
      <c r="D20" s="227">
        <f t="shared" si="4"/>
        <v>3.59375</v>
      </c>
      <c r="E20" s="106">
        <v>21.814285714285671</v>
      </c>
      <c r="F20" s="106">
        <v>11.474920634920689</v>
      </c>
      <c r="G20" s="106">
        <v>63</v>
      </c>
      <c r="H20" s="107">
        <f t="shared" si="0"/>
        <v>4.84</v>
      </c>
      <c r="I20" s="108">
        <v>12.952380952380953</v>
      </c>
      <c r="J20" s="106">
        <v>2.8412698412698414E-2</v>
      </c>
      <c r="K20" s="106">
        <v>63</v>
      </c>
      <c r="L20" s="109">
        <f t="shared" si="1"/>
        <v>7.1099936507936527E-3</v>
      </c>
      <c r="M20" s="224">
        <f t="shared" si="2"/>
        <v>4.8328900063492064</v>
      </c>
      <c r="N20" s="225">
        <f t="shared" si="6"/>
        <v>70.726820609548099</v>
      </c>
      <c r="O20" s="110">
        <f t="shared" si="3"/>
        <v>99.85</v>
      </c>
      <c r="P20" s="108">
        <v>2.2959999999999936</v>
      </c>
      <c r="Q20" s="106">
        <v>31.674066666666665</v>
      </c>
      <c r="R20" s="116">
        <v>25</v>
      </c>
      <c r="S20" s="113">
        <v>0.56000000000000005</v>
      </c>
      <c r="T20" s="114">
        <f t="shared" si="5"/>
        <v>16.18</v>
      </c>
      <c r="U20" s="115">
        <f t="shared" si="7"/>
        <v>11.59</v>
      </c>
    </row>
    <row r="21" spans="1:21" ht="16.5" customHeight="1">
      <c r="A21" s="141">
        <v>46076</v>
      </c>
      <c r="B21" s="104">
        <v>17</v>
      </c>
      <c r="C21" s="105">
        <v>0.22916666666666663</v>
      </c>
      <c r="D21" s="227">
        <f t="shared" si="4"/>
        <v>3.8229166666666665</v>
      </c>
      <c r="E21" s="106">
        <v>24.90000000000008</v>
      </c>
      <c r="F21" s="106">
        <v>11.772439024390208</v>
      </c>
      <c r="G21" s="108">
        <v>41</v>
      </c>
      <c r="H21" s="107">
        <f t="shared" si="0"/>
        <v>3.69</v>
      </c>
      <c r="I21" s="108">
        <v>14.512195121951219</v>
      </c>
      <c r="J21" s="106">
        <v>7.170731707317074E-2</v>
      </c>
      <c r="K21" s="106">
        <v>41</v>
      </c>
      <c r="L21" s="109">
        <f t="shared" si="1"/>
        <v>1.3084195121951222E-2</v>
      </c>
      <c r="M21" s="224">
        <f t="shared" si="2"/>
        <v>3.6769158048780488</v>
      </c>
      <c r="N21" s="225">
        <f t="shared" si="6"/>
        <v>74.403736414426149</v>
      </c>
      <c r="O21" s="110">
        <f t="shared" si="3"/>
        <v>99.65</v>
      </c>
      <c r="P21" s="144">
        <v>2.4837209302325571</v>
      </c>
      <c r="Q21" s="142">
        <v>22.486782945736451</v>
      </c>
      <c r="R21" s="142">
        <v>43</v>
      </c>
      <c r="S21" s="113">
        <v>1.1000000000000001</v>
      </c>
      <c r="T21" s="114">
        <f t="shared" si="5"/>
        <v>17.28</v>
      </c>
      <c r="U21" s="115">
        <f t="shared" si="7"/>
        <v>29.92</v>
      </c>
    </row>
    <row r="22" spans="1:21" ht="16.5" customHeight="1">
      <c r="A22" s="141">
        <v>46077</v>
      </c>
      <c r="B22" s="104">
        <v>18</v>
      </c>
      <c r="C22" s="105">
        <v>0.27083333333333331</v>
      </c>
      <c r="D22" s="227">
        <f t="shared" si="4"/>
        <v>4.09375</v>
      </c>
      <c r="E22" s="106">
        <v>20.498076923077001</v>
      </c>
      <c r="F22" s="106">
        <v>11.000961538461512</v>
      </c>
      <c r="G22" s="112">
        <v>52</v>
      </c>
      <c r="H22" s="107">
        <f t="shared" si="0"/>
        <v>3.6</v>
      </c>
      <c r="I22" s="108">
        <v>14.384615384615385</v>
      </c>
      <c r="J22" s="106">
        <v>7.8269230769230758E-2</v>
      </c>
      <c r="K22" s="112">
        <v>52</v>
      </c>
      <c r="L22" s="109">
        <f t="shared" si="1"/>
        <v>1.7953917948717948E-2</v>
      </c>
      <c r="M22" s="224">
        <f t="shared" si="2"/>
        <v>3.5820460820512823</v>
      </c>
      <c r="N22" s="225">
        <f t="shared" si="6"/>
        <v>77.985782496477427</v>
      </c>
      <c r="O22" s="110">
        <f t="shared" si="3"/>
        <v>99.5</v>
      </c>
      <c r="P22" s="144">
        <v>0.96666666666666756</v>
      </c>
      <c r="Q22" s="142">
        <v>4.8850584795321614</v>
      </c>
      <c r="R22" s="145">
        <v>57</v>
      </c>
      <c r="S22" s="113">
        <v>0.35</v>
      </c>
      <c r="T22" s="114">
        <f t="shared" si="5"/>
        <v>17.630000000000003</v>
      </c>
      <c r="U22" s="115">
        <f t="shared" si="7"/>
        <v>9.77</v>
      </c>
    </row>
    <row r="23" spans="1:21" ht="16.5" customHeight="1">
      <c r="A23" s="141">
        <v>46078</v>
      </c>
      <c r="B23" s="104">
        <v>19</v>
      </c>
      <c r="C23" s="105">
        <v>0.29097222222222224</v>
      </c>
      <c r="D23" s="227">
        <f t="shared" si="4"/>
        <v>4.384722222222222</v>
      </c>
      <c r="E23" s="106">
        <v>17.328571428571404</v>
      </c>
      <c r="F23" s="106">
        <v>10.969047619047599</v>
      </c>
      <c r="G23" s="112">
        <v>42</v>
      </c>
      <c r="H23" s="107">
        <f t="shared" si="0"/>
        <v>2.4500000000000002</v>
      </c>
      <c r="I23" s="108">
        <v>15.071428571428571</v>
      </c>
      <c r="J23" s="106">
        <v>2.5238095238095243E-2</v>
      </c>
      <c r="K23" s="112">
        <v>42</v>
      </c>
      <c r="L23" s="109">
        <f t="shared" si="1"/>
        <v>4.8992190476190491E-3</v>
      </c>
      <c r="M23" s="224">
        <f t="shared" si="2"/>
        <v>2.445100780952381</v>
      </c>
      <c r="N23" s="225">
        <f t="shared" si="6"/>
        <v>80.430883277429814</v>
      </c>
      <c r="O23" s="110">
        <f t="shared" si="3"/>
        <v>99.8</v>
      </c>
      <c r="P23" s="144">
        <v>1.517786561264822</v>
      </c>
      <c r="Q23" s="142">
        <v>17.940513833992107</v>
      </c>
      <c r="R23" s="145">
        <v>42.166666666666664</v>
      </c>
      <c r="S23" s="113">
        <v>0.6</v>
      </c>
      <c r="T23" s="114">
        <f t="shared" si="5"/>
        <v>18.230000000000004</v>
      </c>
      <c r="U23" s="115">
        <f t="shared" si="7"/>
        <v>24.54</v>
      </c>
    </row>
    <row r="24" spans="1:21" ht="16.5" customHeight="1">
      <c r="A24" s="141">
        <v>46079</v>
      </c>
      <c r="B24" s="104">
        <v>20</v>
      </c>
      <c r="C24" s="105">
        <v>0.3652777777777777</v>
      </c>
      <c r="D24" s="227">
        <f t="shared" si="4"/>
        <v>4.75</v>
      </c>
      <c r="E24" s="106">
        <v>23.438095238095311</v>
      </c>
      <c r="F24" s="106">
        <v>19.261904761904766</v>
      </c>
      <c r="G24" s="112">
        <v>42</v>
      </c>
      <c r="H24" s="107">
        <f t="shared" si="0"/>
        <v>5.81</v>
      </c>
      <c r="I24" s="108">
        <v>15.714285714285714</v>
      </c>
      <c r="J24" s="106">
        <v>2.3809523809523808E-2</v>
      </c>
      <c r="K24" s="112">
        <v>42</v>
      </c>
      <c r="L24" s="109">
        <f t="shared" si="1"/>
        <v>4.8190476190476186E-3</v>
      </c>
      <c r="M24" s="224">
        <f t="shared" si="2"/>
        <v>5.8051809523809519</v>
      </c>
      <c r="N24" s="225">
        <f t="shared" si="6"/>
        <v>86.236064229810765</v>
      </c>
      <c r="O24" s="110">
        <f t="shared" si="3"/>
        <v>99.92</v>
      </c>
      <c r="P24" s="144">
        <v>1.103846153846149</v>
      </c>
      <c r="Q24" s="142">
        <v>25.20653846153845</v>
      </c>
      <c r="R24" s="145">
        <v>52</v>
      </c>
      <c r="S24" s="113">
        <v>1.32</v>
      </c>
      <c r="T24" s="114">
        <f t="shared" si="5"/>
        <v>19.550000000000004</v>
      </c>
      <c r="U24" s="115">
        <f t="shared" si="7"/>
        <v>22.74</v>
      </c>
    </row>
    <row r="25" spans="1:21" ht="16.5" customHeight="1">
      <c r="A25" s="141">
        <v>46080</v>
      </c>
      <c r="B25" s="104">
        <v>21</v>
      </c>
      <c r="C25" s="105">
        <v>0.31666666666666665</v>
      </c>
      <c r="D25" s="227">
        <f t="shared" si="4"/>
        <v>5.0666666666666664</v>
      </c>
      <c r="E25" s="106">
        <v>13.688372093023291</v>
      </c>
      <c r="F25" s="106">
        <v>11.988837209302313</v>
      </c>
      <c r="G25" s="112">
        <v>43</v>
      </c>
      <c r="H25" s="107">
        <f t="shared" si="0"/>
        <v>2.16</v>
      </c>
      <c r="I25" s="108">
        <v>12.186046511627907</v>
      </c>
      <c r="J25" s="106">
        <v>5.6279069767441861E-2</v>
      </c>
      <c r="K25" s="112">
        <v>43</v>
      </c>
      <c r="L25" s="109">
        <f t="shared" si="1"/>
        <v>9.0436713178294586E-3</v>
      </c>
      <c r="M25" s="224">
        <f t="shared" si="2"/>
        <v>2.1509563286821707</v>
      </c>
      <c r="N25" s="225">
        <f t="shared" si="6"/>
        <v>88.387020558492935</v>
      </c>
      <c r="O25" s="110">
        <f t="shared" si="3"/>
        <v>99.58</v>
      </c>
      <c r="P25" s="144">
        <v>1.2203389830508475</v>
      </c>
      <c r="Q25" s="142">
        <v>15.700734463276824</v>
      </c>
      <c r="R25" s="145">
        <v>59</v>
      </c>
      <c r="S25" s="113">
        <v>0.6</v>
      </c>
      <c r="T25" s="114">
        <f t="shared" si="5"/>
        <v>20.150000000000006</v>
      </c>
      <c r="U25" s="115">
        <f t="shared" si="7"/>
        <v>27.89</v>
      </c>
    </row>
    <row r="26" spans="1:21" ht="16.5" customHeight="1">
      <c r="A26" s="141">
        <v>46083</v>
      </c>
      <c r="B26" s="104">
        <v>22</v>
      </c>
      <c r="C26" s="105">
        <v>0.30694444444444446</v>
      </c>
      <c r="D26" s="227">
        <f t="shared" ref="D26:D38" si="8">D25+C26</f>
        <v>5.3736111111111109</v>
      </c>
      <c r="E26" s="106">
        <v>23.94827586206895</v>
      </c>
      <c r="F26" s="106">
        <v>13.65172413793103</v>
      </c>
      <c r="G26" s="112">
        <v>29</v>
      </c>
      <c r="H26" s="107">
        <f t="shared" ref="H26:H38" si="9">ROUND(E26*F26*1.84*(G26/60)*0.01,2)</f>
        <v>2.91</v>
      </c>
      <c r="I26" s="108">
        <v>12.275862068965518</v>
      </c>
      <c r="J26" s="106">
        <v>9.2068965517241391E-2</v>
      </c>
      <c r="K26" s="112">
        <v>29</v>
      </c>
      <c r="L26" s="109">
        <f t="shared" ref="L26:L38" si="10">I26*J26*1.84*(K26/60)*0.01</f>
        <v>1.0051475862068969E-2</v>
      </c>
      <c r="M26" s="224">
        <f t="shared" ref="M26:M38" si="11">H26-L26</f>
        <v>2.899948524137931</v>
      </c>
      <c r="N26" s="225">
        <f t="shared" si="6"/>
        <v>91.286969082630861</v>
      </c>
      <c r="O26" s="110">
        <f t="shared" ref="O26:O38" si="12">ROUND(M26/H26*100,2)</f>
        <v>99.65</v>
      </c>
      <c r="P26" s="144">
        <v>0.98163934426229349</v>
      </c>
      <c r="Q26" s="142">
        <v>9.1590491803278997</v>
      </c>
      <c r="R26" s="145">
        <v>50.833333333333336</v>
      </c>
      <c r="S26" s="113">
        <v>0.7</v>
      </c>
      <c r="T26" s="114">
        <f t="shared" ref="T26:T38" si="13">T25+S26</f>
        <v>20.850000000000005</v>
      </c>
      <c r="U26" s="115">
        <f t="shared" ref="U26:U38" si="14">IFERROR(ROUND(S26/M26 *100,2),0)</f>
        <v>24.14</v>
      </c>
    </row>
    <row r="27" spans="1:21" ht="16.5" customHeight="1">
      <c r="A27" s="141">
        <v>46085</v>
      </c>
      <c r="B27" s="104">
        <v>23</v>
      </c>
      <c r="C27" s="105">
        <v>0.31597222222222227</v>
      </c>
      <c r="D27" s="227">
        <f t="shared" si="8"/>
        <v>5.6895833333333332</v>
      </c>
      <c r="E27" s="106">
        <v>17.84999999999998</v>
      </c>
      <c r="F27" s="106">
        <v>14.334999999999948</v>
      </c>
      <c r="G27" s="112">
        <v>22</v>
      </c>
      <c r="H27" s="107">
        <f t="shared" si="9"/>
        <v>1.73</v>
      </c>
      <c r="I27" s="108">
        <v>15.454545454545455</v>
      </c>
      <c r="J27" s="106">
        <v>0.10454545454545454</v>
      </c>
      <c r="K27" s="112">
        <v>22</v>
      </c>
      <c r="L27" s="109">
        <f t="shared" si="10"/>
        <v>1.090060606060606E-2</v>
      </c>
      <c r="M27" s="224">
        <f t="shared" si="11"/>
        <v>1.7190993939393939</v>
      </c>
      <c r="N27" s="225">
        <f t="shared" si="6"/>
        <v>93.006068476570249</v>
      </c>
      <c r="O27" s="110">
        <f t="shared" si="12"/>
        <v>99.37</v>
      </c>
      <c r="P27" s="144">
        <v>2.4016666666666664</v>
      </c>
      <c r="Q27" s="142">
        <v>54.160944444444482</v>
      </c>
      <c r="R27" s="145">
        <v>60</v>
      </c>
      <c r="S27" s="113">
        <v>2.5</v>
      </c>
      <c r="T27" s="114">
        <f t="shared" si="13"/>
        <v>23.350000000000005</v>
      </c>
      <c r="U27" s="115">
        <f t="shared" si="14"/>
        <v>145.41999999999999</v>
      </c>
    </row>
    <row r="28" spans="1:21" ht="16.5" customHeight="1">
      <c r="A28" s="141">
        <v>46086</v>
      </c>
      <c r="B28" s="104">
        <v>24</v>
      </c>
      <c r="C28" s="105">
        <v>0.27847222222222223</v>
      </c>
      <c r="D28" s="227">
        <f t="shared" si="8"/>
        <v>5.968055555555555</v>
      </c>
      <c r="E28" s="106">
        <v>22.911538461538424</v>
      </c>
      <c r="F28" s="106">
        <v>14.148076923076914</v>
      </c>
      <c r="G28" s="112">
        <v>26</v>
      </c>
      <c r="H28" s="107">
        <f t="shared" si="9"/>
        <v>2.58</v>
      </c>
      <c r="I28" s="108">
        <v>14.538461538461538</v>
      </c>
      <c r="J28" s="106">
        <v>0.105</v>
      </c>
      <c r="K28" s="112">
        <v>26</v>
      </c>
      <c r="L28" s="109">
        <f t="shared" si="10"/>
        <v>1.2171600000000001E-2</v>
      </c>
      <c r="M28" s="224">
        <f t="shared" si="11"/>
        <v>2.5678284000000002</v>
      </c>
      <c r="N28" s="225">
        <f t="shared" si="6"/>
        <v>95.573896876570245</v>
      </c>
      <c r="O28" s="110">
        <f t="shared" si="12"/>
        <v>99.53</v>
      </c>
      <c r="P28" s="144">
        <v>0.99999999999999889</v>
      </c>
      <c r="Q28" s="142">
        <v>7.2979084967320276</v>
      </c>
      <c r="R28" s="145">
        <v>51</v>
      </c>
      <c r="S28" s="113">
        <v>0.5</v>
      </c>
      <c r="T28" s="114">
        <f t="shared" si="13"/>
        <v>23.850000000000005</v>
      </c>
      <c r="U28" s="115">
        <f t="shared" si="14"/>
        <v>19.47</v>
      </c>
    </row>
    <row r="29" spans="1:21" ht="16.5" customHeight="1">
      <c r="A29" s="141">
        <v>46087</v>
      </c>
      <c r="B29" s="104">
        <v>25</v>
      </c>
      <c r="C29" s="105">
        <v>0.2729166666666667</v>
      </c>
      <c r="D29" s="227">
        <f t="shared" si="8"/>
        <v>6.2409722222222221</v>
      </c>
      <c r="E29" s="106">
        <v>15.795833333333368</v>
      </c>
      <c r="F29" s="106">
        <v>13.433749999999996</v>
      </c>
      <c r="G29" s="112">
        <v>24</v>
      </c>
      <c r="H29" s="107">
        <f t="shared" si="9"/>
        <v>1.56</v>
      </c>
      <c r="I29" s="108">
        <v>15</v>
      </c>
      <c r="J29" s="106">
        <v>0.12749999999999997</v>
      </c>
      <c r="K29" s="112">
        <v>24</v>
      </c>
      <c r="L29" s="109">
        <f t="shared" si="10"/>
        <v>1.4076E-2</v>
      </c>
      <c r="M29" s="224">
        <f t="shared" si="11"/>
        <v>1.5459240000000001</v>
      </c>
      <c r="N29" s="225">
        <f t="shared" si="6"/>
        <v>97.119820876570245</v>
      </c>
      <c r="O29" s="110">
        <f t="shared" si="12"/>
        <v>99.1</v>
      </c>
      <c r="P29" s="144">
        <v>0.90465116279069779</v>
      </c>
      <c r="Q29" s="142">
        <v>2.621279069767442</v>
      </c>
      <c r="R29" s="145">
        <v>43</v>
      </c>
      <c r="S29" s="113">
        <v>0.04</v>
      </c>
      <c r="T29" s="114">
        <f t="shared" si="13"/>
        <v>23.890000000000004</v>
      </c>
      <c r="U29" s="115">
        <f t="shared" si="14"/>
        <v>2.59</v>
      </c>
    </row>
    <row r="30" spans="1:21" ht="16.5" customHeight="1">
      <c r="A30" s="141">
        <v>46090</v>
      </c>
      <c r="B30" s="104">
        <v>26</v>
      </c>
      <c r="C30" s="105">
        <v>0.3263888888888889</v>
      </c>
      <c r="D30" s="227">
        <f t="shared" si="8"/>
        <v>6.5673611111111114</v>
      </c>
      <c r="E30" s="106">
        <v>24.5</v>
      </c>
      <c r="F30" s="106">
        <v>14.001304347826096</v>
      </c>
      <c r="G30" s="112">
        <v>23</v>
      </c>
      <c r="H30" s="107">
        <f t="shared" si="9"/>
        <v>2.42</v>
      </c>
      <c r="I30" s="108">
        <v>18</v>
      </c>
      <c r="J30" s="106">
        <v>0.15695652173913049</v>
      </c>
      <c r="K30" s="112">
        <v>23</v>
      </c>
      <c r="L30" s="109">
        <f t="shared" si="10"/>
        <v>1.9927200000000009E-2</v>
      </c>
      <c r="M30" s="224">
        <f t="shared" si="11"/>
        <v>2.4000727999999998</v>
      </c>
      <c r="N30" s="225">
        <f t="shared" si="6"/>
        <v>99.519893676570248</v>
      </c>
      <c r="O30" s="110">
        <f t="shared" si="12"/>
        <v>99.18</v>
      </c>
      <c r="P30" s="108">
        <v>0.54835164835164785</v>
      </c>
      <c r="Q30" s="106">
        <v>41.742307692307719</v>
      </c>
      <c r="R30" s="116">
        <v>91</v>
      </c>
      <c r="S30" s="113">
        <v>0.83</v>
      </c>
      <c r="T30" s="114">
        <f t="shared" si="13"/>
        <v>24.720000000000002</v>
      </c>
      <c r="U30" s="115">
        <f t="shared" si="14"/>
        <v>34.58</v>
      </c>
    </row>
    <row r="31" spans="1:21" ht="16.5" customHeight="1">
      <c r="A31" s="141">
        <v>46091</v>
      </c>
      <c r="B31" s="104">
        <v>27</v>
      </c>
      <c r="C31" s="105">
        <v>0.28541666666666671</v>
      </c>
      <c r="D31" s="227">
        <f t="shared" si="8"/>
        <v>6.8527777777777779</v>
      </c>
      <c r="E31" s="106">
        <v>24.194999999999951</v>
      </c>
      <c r="F31" s="106">
        <v>13.953000000000008</v>
      </c>
      <c r="G31" s="112">
        <v>20</v>
      </c>
      <c r="H31" s="107">
        <f t="shared" si="9"/>
        <v>2.0699999999999998</v>
      </c>
      <c r="I31" s="108">
        <v>18</v>
      </c>
      <c r="J31" s="106">
        <v>0.154</v>
      </c>
      <c r="K31" s="112">
        <v>20</v>
      </c>
      <c r="L31" s="109">
        <f t="shared" si="10"/>
        <v>1.7001599999999999E-2</v>
      </c>
      <c r="M31" s="224">
        <f t="shared" si="11"/>
        <v>2.0529983999999999</v>
      </c>
      <c r="N31" s="225">
        <f t="shared" si="6"/>
        <v>101.57289207657024</v>
      </c>
      <c r="O31" s="110">
        <f t="shared" si="12"/>
        <v>99.18</v>
      </c>
      <c r="P31" s="108">
        <v>2.0212121212121215</v>
      </c>
      <c r="Q31" s="106">
        <v>48.609040404040421</v>
      </c>
      <c r="R31" s="116">
        <v>33</v>
      </c>
      <c r="S31" s="113">
        <v>0.85</v>
      </c>
      <c r="T31" s="114">
        <f t="shared" si="13"/>
        <v>25.570000000000004</v>
      </c>
      <c r="U31" s="115">
        <f t="shared" si="14"/>
        <v>41.4</v>
      </c>
    </row>
    <row r="32" spans="1:21" ht="16.5" customHeight="1">
      <c r="A32" s="141">
        <v>46092</v>
      </c>
      <c r="B32" s="104">
        <v>28</v>
      </c>
      <c r="C32" s="105">
        <v>0.30763888888888885</v>
      </c>
      <c r="D32" s="227">
        <f t="shared" si="8"/>
        <v>7.1604166666666664</v>
      </c>
      <c r="E32" s="106">
        <v>25.264705882352942</v>
      </c>
      <c r="F32" s="106">
        <v>14</v>
      </c>
      <c r="G32" s="112">
        <v>17</v>
      </c>
      <c r="H32" s="107">
        <f t="shared" si="9"/>
        <v>1.84</v>
      </c>
      <c r="I32" s="108">
        <v>16</v>
      </c>
      <c r="J32" s="106">
        <v>0.12588235294117647</v>
      </c>
      <c r="K32" s="112">
        <v>17</v>
      </c>
      <c r="L32" s="109">
        <f t="shared" si="10"/>
        <v>1.0500266666666667E-2</v>
      </c>
      <c r="M32" s="224">
        <f t="shared" si="11"/>
        <v>1.8294997333333334</v>
      </c>
      <c r="N32" s="225">
        <f t="shared" si="6"/>
        <v>103.40239180990358</v>
      </c>
      <c r="O32" s="110">
        <f t="shared" si="12"/>
        <v>99.43</v>
      </c>
      <c r="P32" s="108">
        <v>2.2874773139745894</v>
      </c>
      <c r="Q32" s="106">
        <v>42.147041742286788</v>
      </c>
      <c r="R32" s="116">
        <v>91.833333333333329</v>
      </c>
      <c r="S32" s="113">
        <v>2.81</v>
      </c>
      <c r="T32" s="114">
        <f t="shared" si="13"/>
        <v>28.380000000000003</v>
      </c>
      <c r="U32" s="115">
        <f t="shared" si="14"/>
        <v>153.59</v>
      </c>
    </row>
    <row r="33" spans="1:28" ht="16.5" customHeight="1">
      <c r="A33" s="141">
        <v>46093</v>
      </c>
      <c r="B33" s="104">
        <v>29</v>
      </c>
      <c r="C33" s="105">
        <v>0.27013888888888887</v>
      </c>
      <c r="D33" s="227">
        <f t="shared" si="8"/>
        <v>7.4305555555555554</v>
      </c>
      <c r="E33" s="106">
        <v>22.906666666666677</v>
      </c>
      <c r="F33" s="106">
        <v>14.093333333333327</v>
      </c>
      <c r="G33" s="112">
        <v>15</v>
      </c>
      <c r="H33" s="107">
        <f t="shared" si="9"/>
        <v>1.49</v>
      </c>
      <c r="I33" s="108">
        <v>18</v>
      </c>
      <c r="J33" s="106">
        <v>0.14399999999999996</v>
      </c>
      <c r="K33" s="112">
        <v>15</v>
      </c>
      <c r="L33" s="109">
        <f t="shared" si="10"/>
        <v>1.1923199999999997E-2</v>
      </c>
      <c r="M33" s="224">
        <f t="shared" si="11"/>
        <v>1.4780768</v>
      </c>
      <c r="N33" s="225">
        <f t="shared" si="6"/>
        <v>104.88046860990357</v>
      </c>
      <c r="O33" s="110">
        <f t="shared" si="12"/>
        <v>99.2</v>
      </c>
      <c r="P33" s="108">
        <v>2.3217391304347825</v>
      </c>
      <c r="Q33" s="106">
        <v>65.015507246376842</v>
      </c>
      <c r="R33" s="116">
        <v>46</v>
      </c>
      <c r="S33" s="113">
        <v>2</v>
      </c>
      <c r="T33" s="114">
        <f t="shared" si="13"/>
        <v>30.380000000000003</v>
      </c>
      <c r="U33" s="115">
        <f t="shared" si="14"/>
        <v>135.31</v>
      </c>
    </row>
    <row r="34" spans="1:28" ht="16.5" customHeight="1">
      <c r="A34" s="141">
        <v>46094</v>
      </c>
      <c r="B34" s="104">
        <v>30</v>
      </c>
      <c r="C34" s="105">
        <v>0.33055555555555555</v>
      </c>
      <c r="D34" s="227">
        <f t="shared" si="8"/>
        <v>7.7611111111111111</v>
      </c>
      <c r="E34" s="106">
        <v>24.66956521739127</v>
      </c>
      <c r="F34" s="106">
        <v>11.583913043478271</v>
      </c>
      <c r="G34" s="112">
        <v>23</v>
      </c>
      <c r="H34" s="107">
        <f t="shared" si="9"/>
        <v>2.02</v>
      </c>
      <c r="I34" s="108">
        <v>16</v>
      </c>
      <c r="J34" s="106">
        <v>0.16304347826086948</v>
      </c>
      <c r="K34" s="112">
        <v>23</v>
      </c>
      <c r="L34" s="109">
        <f t="shared" si="10"/>
        <v>1.8399999999999996E-2</v>
      </c>
      <c r="M34" s="224">
        <f t="shared" si="11"/>
        <v>2.0015999999999998</v>
      </c>
      <c r="N34" s="225">
        <f t="shared" si="6"/>
        <v>106.88206860990357</v>
      </c>
      <c r="O34" s="110">
        <f t="shared" si="12"/>
        <v>99.09</v>
      </c>
      <c r="P34" s="108">
        <v>2.1764705882352935</v>
      </c>
      <c r="Q34" s="106">
        <v>49.719019607843137</v>
      </c>
      <c r="R34" s="116">
        <v>119</v>
      </c>
      <c r="S34" s="113">
        <v>3.98</v>
      </c>
      <c r="T34" s="114">
        <f t="shared" si="13"/>
        <v>34.36</v>
      </c>
      <c r="U34" s="115">
        <f t="shared" si="14"/>
        <v>198.84</v>
      </c>
    </row>
    <row r="35" spans="1:28" ht="16.5" customHeight="1">
      <c r="A35" s="141">
        <v>46097</v>
      </c>
      <c r="B35" s="104">
        <v>31</v>
      </c>
      <c r="C35" s="105">
        <v>0.28124999999999994</v>
      </c>
      <c r="D35" s="227">
        <f t="shared" si="8"/>
        <v>8.0423611111111111</v>
      </c>
      <c r="E35" s="106">
        <v>13.361538461538448</v>
      </c>
      <c r="F35" s="106">
        <v>13.692307692307704</v>
      </c>
      <c r="G35" s="112">
        <v>13</v>
      </c>
      <c r="H35" s="107">
        <f t="shared" si="9"/>
        <v>0.73</v>
      </c>
      <c r="I35" s="108">
        <v>18</v>
      </c>
      <c r="J35" s="106">
        <v>0.14846153846153845</v>
      </c>
      <c r="K35" s="112">
        <v>13</v>
      </c>
      <c r="L35" s="109">
        <f t="shared" si="10"/>
        <v>1.0653600000000001E-2</v>
      </c>
      <c r="M35" s="224">
        <f t="shared" si="11"/>
        <v>0.71934639999999994</v>
      </c>
      <c r="N35" s="225">
        <f t="shared" si="6"/>
        <v>107.60141500990358</v>
      </c>
      <c r="O35" s="110">
        <f t="shared" si="12"/>
        <v>98.54</v>
      </c>
      <c r="P35" s="108">
        <v>1.7214285714285669</v>
      </c>
      <c r="Q35" s="106">
        <v>5.4480952380952354</v>
      </c>
      <c r="R35" s="116">
        <v>28</v>
      </c>
      <c r="S35" s="113">
        <v>0.15</v>
      </c>
      <c r="T35" s="114">
        <f t="shared" si="13"/>
        <v>34.51</v>
      </c>
      <c r="U35" s="115">
        <f t="shared" si="14"/>
        <v>20.85</v>
      </c>
    </row>
    <row r="36" spans="1:28" ht="16.5" customHeight="1">
      <c r="A36" s="141">
        <v>46098</v>
      </c>
      <c r="B36" s="104">
        <v>32</v>
      </c>
      <c r="C36" s="105">
        <v>0.25972222222222219</v>
      </c>
      <c r="D36" s="227">
        <f t="shared" si="8"/>
        <v>8.3020833333333339</v>
      </c>
      <c r="E36" s="106">
        <v>17.426315789473698</v>
      </c>
      <c r="F36" s="106">
        <v>13.799999999999972</v>
      </c>
      <c r="G36" s="112">
        <v>19</v>
      </c>
      <c r="H36" s="107">
        <f t="shared" si="9"/>
        <v>1.4</v>
      </c>
      <c r="I36" s="108">
        <v>16</v>
      </c>
      <c r="J36" s="106">
        <v>0.11947368421052629</v>
      </c>
      <c r="K36" s="112">
        <v>19</v>
      </c>
      <c r="L36" s="109">
        <f t="shared" si="10"/>
        <v>1.1138133333333331E-2</v>
      </c>
      <c r="M36" s="224">
        <f t="shared" si="11"/>
        <v>1.3888618666666666</v>
      </c>
      <c r="N36" s="225">
        <f t="shared" si="6"/>
        <v>108.99027687657025</v>
      </c>
      <c r="O36" s="110">
        <f t="shared" si="12"/>
        <v>99.2</v>
      </c>
      <c r="P36" s="108">
        <v>1.4000000000000001</v>
      </c>
      <c r="Q36" s="106">
        <v>3.9227419354838702</v>
      </c>
      <c r="R36" s="116">
        <v>31</v>
      </c>
      <c r="S36" s="113">
        <v>0.13</v>
      </c>
      <c r="T36" s="114">
        <f t="shared" si="13"/>
        <v>34.64</v>
      </c>
      <c r="U36" s="115">
        <f t="shared" si="14"/>
        <v>9.36</v>
      </c>
    </row>
    <row r="37" spans="1:28" ht="16.5" customHeight="1">
      <c r="A37" s="141">
        <v>46099</v>
      </c>
      <c r="B37" s="104">
        <v>33</v>
      </c>
      <c r="C37" s="105">
        <v>0.22638888888888892</v>
      </c>
      <c r="D37" s="227">
        <f t="shared" si="8"/>
        <v>8.5284722222222236</v>
      </c>
      <c r="E37" s="106">
        <v>14.18571428571429</v>
      </c>
      <c r="F37" s="106">
        <v>13.878571428571409</v>
      </c>
      <c r="G37" s="112">
        <v>14</v>
      </c>
      <c r="H37" s="107">
        <f t="shared" si="9"/>
        <v>0.85</v>
      </c>
      <c r="I37" s="108">
        <v>16</v>
      </c>
      <c r="J37" s="106">
        <v>0.2</v>
      </c>
      <c r="K37" s="112">
        <v>14</v>
      </c>
      <c r="L37" s="109">
        <f t="shared" si="10"/>
        <v>1.3738666666666668E-2</v>
      </c>
      <c r="M37" s="224">
        <f t="shared" si="11"/>
        <v>0.8362613333333333</v>
      </c>
      <c r="N37" s="225">
        <f t="shared" si="6"/>
        <v>109.82653820990359</v>
      </c>
      <c r="O37" s="110">
        <f t="shared" si="12"/>
        <v>98.38</v>
      </c>
      <c r="P37" s="108">
        <v>2.3923076923076949</v>
      </c>
      <c r="Q37" s="106">
        <v>8.2163461538461462</v>
      </c>
      <c r="R37" s="116">
        <v>26</v>
      </c>
      <c r="S37" s="113">
        <v>0.19</v>
      </c>
      <c r="T37" s="114">
        <f>T36+S37</f>
        <v>34.83</v>
      </c>
      <c r="U37" s="115">
        <f t="shared" si="14"/>
        <v>22.72</v>
      </c>
    </row>
    <row r="38" spans="1:28" ht="16.5" customHeight="1">
      <c r="A38" s="141">
        <v>46100</v>
      </c>
      <c r="B38" s="104">
        <v>34</v>
      </c>
      <c r="C38" s="105">
        <v>0.30347222222222225</v>
      </c>
      <c r="D38" s="227">
        <f t="shared" si="8"/>
        <v>8.8319444444444457</v>
      </c>
      <c r="E38" s="106">
        <v>13.866666666666685</v>
      </c>
      <c r="F38" s="112">
        <v>12.099999999999993</v>
      </c>
      <c r="G38" s="112">
        <v>18</v>
      </c>
      <c r="H38" s="107">
        <f t="shared" si="9"/>
        <v>0.93</v>
      </c>
      <c r="I38" s="124">
        <v>14</v>
      </c>
      <c r="J38" s="106">
        <v>6.4814814814814811E-2</v>
      </c>
      <c r="K38" s="112">
        <v>18</v>
      </c>
      <c r="L38" s="109">
        <f t="shared" si="10"/>
        <v>5.0088888888888882E-3</v>
      </c>
      <c r="M38" s="224">
        <f t="shared" si="11"/>
        <v>0.92499111111111121</v>
      </c>
      <c r="N38" s="225">
        <f t="shared" si="6"/>
        <v>110.7515293210147</v>
      </c>
      <c r="O38" s="110">
        <f t="shared" si="12"/>
        <v>99.46</v>
      </c>
      <c r="P38" s="108">
        <v>1.2687500000000003</v>
      </c>
      <c r="Q38" s="106">
        <v>15.782239583333336</v>
      </c>
      <c r="R38" s="116">
        <v>32</v>
      </c>
      <c r="S38" s="113">
        <v>0.01</v>
      </c>
      <c r="T38" s="114">
        <f t="shared" si="13"/>
        <v>34.839999999999996</v>
      </c>
      <c r="U38" s="115">
        <f t="shared" si="14"/>
        <v>1.08</v>
      </c>
    </row>
    <row r="39" spans="1:28" ht="16.5" customHeight="1" thickBot="1">
      <c r="A39" s="117" t="s">
        <v>19</v>
      </c>
      <c r="B39" s="118"/>
      <c r="C39" s="119"/>
      <c r="D39" s="119">
        <f>D38</f>
        <v>8.8319444444444457</v>
      </c>
      <c r="E39" s="119"/>
      <c r="F39" s="118"/>
      <c r="G39" s="118"/>
      <c r="H39" s="121">
        <f>AVERAGE(H5:H38)</f>
        <v>3.2691176470588239</v>
      </c>
      <c r="I39" s="118"/>
      <c r="J39" s="118"/>
      <c r="K39" s="118"/>
      <c r="L39" s="120">
        <f>SUM(L5:L25)</f>
        <v>0.23297944150706049</v>
      </c>
      <c r="M39" s="121"/>
      <c r="N39" s="121">
        <f>N38</f>
        <v>110.7515293210147</v>
      </c>
      <c r="O39" s="121">
        <f>AVERAGE(O5:O25)</f>
        <v>99.554761904761904</v>
      </c>
      <c r="P39" s="118"/>
      <c r="Q39" s="118"/>
      <c r="R39" s="118"/>
      <c r="S39" s="118"/>
      <c r="T39" s="118">
        <f>T23</f>
        <v>18.230000000000004</v>
      </c>
      <c r="U39" s="118"/>
    </row>
    <row r="40" spans="1:28" ht="16.5" customHeight="1" thickTop="1"/>
    <row r="41" spans="1:28" ht="16.5" customHeight="1"/>
    <row r="42" spans="1:28" ht="16.5" customHeight="1"/>
    <row r="43" spans="1:28" ht="16.5" customHeight="1">
      <c r="B43" s="82" t="s">
        <v>20</v>
      </c>
      <c r="L43" s="82" t="s">
        <v>21</v>
      </c>
      <c r="P43" s="82" t="s">
        <v>22</v>
      </c>
      <c r="AB43" s="40" t="s">
        <v>23</v>
      </c>
    </row>
    <row r="44" spans="1:28" ht="16.5" customHeight="1"/>
    <row r="45" spans="1:28" ht="16.5" customHeight="1"/>
    <row r="46" spans="1:28" ht="16.5" customHeight="1"/>
    <row r="47" spans="1:28" ht="16.5" customHeight="1"/>
    <row r="48" spans="1:2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spans="1:35" ht="16.5" customHeight="1"/>
    <row r="66" spans="1:35" ht="16.5" customHeight="1"/>
    <row r="67" spans="1:35" ht="16.5" customHeight="1"/>
    <row r="68" spans="1:35" ht="16.5" customHeight="1"/>
    <row r="69" spans="1:35" ht="16.5" customHeight="1"/>
    <row r="70" spans="1:35" ht="16.5" customHeight="1"/>
    <row r="71" spans="1:35" ht="16.5" customHeight="1">
      <c r="B71" t="s">
        <v>55</v>
      </c>
      <c r="D71" t="s">
        <v>56</v>
      </c>
      <c r="F71" t="s">
        <v>57</v>
      </c>
    </row>
    <row r="72" spans="1:35" ht="16.5" customHeight="1">
      <c r="A72" t="s">
        <v>34</v>
      </c>
      <c r="B72">
        <f xml:space="preserve"> (-0.0111*1 + 0.1961) *24</f>
        <v>4.4399999999999995</v>
      </c>
      <c r="C72" t="s">
        <v>58</v>
      </c>
      <c r="D72" s="164">
        <f xml:space="preserve"> (0.0041*4 + 0.1956)*24</f>
        <v>5.0880000000000001</v>
      </c>
      <c r="E72" s="168" t="s">
        <v>59</v>
      </c>
      <c r="F72" s="164">
        <f xml:space="preserve"> (-0.0013*17 + 0.3227) *24</f>
        <v>7.2143999999999995</v>
      </c>
    </row>
    <row r="73" spans="1:35" ht="16.5" customHeight="1">
      <c r="A73" t="s">
        <v>60</v>
      </c>
      <c r="B73" s="164">
        <f xml:space="preserve"> (-0.0111*3 + 0.1961) *24</f>
        <v>3.9072</v>
      </c>
      <c r="C73" t="s">
        <v>61</v>
      </c>
      <c r="D73" s="164">
        <f xml:space="preserve"> (0.0041*16 + 0.2012)*24</f>
        <v>6.4032</v>
      </c>
      <c r="E73" s="168" t="s">
        <v>62</v>
      </c>
      <c r="F73" s="164">
        <f xml:space="preserve"> (-0.0013*34 + 0.3227) *24</f>
        <v>6.6839999999999993</v>
      </c>
      <c r="AG73" s="123" t="s">
        <v>24</v>
      </c>
      <c r="AH73" s="123"/>
    </row>
    <row r="74" spans="1:35" ht="16.5" customHeight="1">
      <c r="AB74" s="166" t="s">
        <v>63</v>
      </c>
      <c r="AE74" s="123" t="s">
        <v>34</v>
      </c>
      <c r="AF74" s="123" t="s">
        <v>25</v>
      </c>
      <c r="AG74" s="164">
        <f xml:space="preserve"> -0.1087*1 + 5.1591</f>
        <v>5.0503999999999998</v>
      </c>
      <c r="AH74" s="164"/>
      <c r="AI74" s="165">
        <f>(AG74-AG75)/AG74*100</f>
        <v>2.1523047679391691</v>
      </c>
    </row>
    <row r="75" spans="1:35" ht="16.5" customHeight="1">
      <c r="AE75" s="123" t="s">
        <v>35</v>
      </c>
      <c r="AF75" s="123" t="s">
        <v>25</v>
      </c>
      <c r="AG75" s="164">
        <f xml:space="preserve"> -0.1087*2 + 5.1591</f>
        <v>4.9417</v>
      </c>
      <c r="AH75" s="164"/>
    </row>
    <row r="76" spans="1:35" ht="16.5" customHeight="1"/>
    <row r="77" spans="1:35" ht="16.5" customHeight="1"/>
    <row r="78" spans="1:35" ht="16.5" customHeight="1"/>
    <row r="79" spans="1:35" ht="16.5" customHeight="1"/>
    <row r="80" spans="1:35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spans="28:28" ht="16.5" customHeight="1"/>
    <row r="98" spans="28:28" ht="16.5" customHeight="1"/>
    <row r="99" spans="28:28" ht="16.5" customHeight="1"/>
    <row r="100" spans="28:28" ht="16.5" customHeight="1"/>
    <row r="101" spans="28:28" ht="16.5" customHeight="1"/>
    <row r="102" spans="28:28" ht="16.5" customHeight="1">
      <c r="AB102" s="40"/>
    </row>
    <row r="103" spans="28:28" ht="16.5" customHeight="1"/>
    <row r="104" spans="28:28" ht="16.5" customHeight="1"/>
    <row r="105" spans="28:28" ht="16.5" customHeight="1"/>
    <row r="106" spans="28:28" ht="16.5" customHeight="1"/>
    <row r="107" spans="28:28" ht="16.5" customHeight="1"/>
    <row r="108" spans="28:28" ht="16.5" customHeight="1"/>
    <row r="109" spans="28:28" ht="16.5" customHeight="1"/>
    <row r="110" spans="28:28" ht="16.5" customHeight="1"/>
    <row r="111" spans="28:28" ht="16.5" customHeight="1"/>
    <row r="112" spans="28:28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</sheetData>
  <mergeCells count="7">
    <mergeCell ref="P3:U3"/>
    <mergeCell ref="B3:B4"/>
    <mergeCell ref="C3:C4"/>
    <mergeCell ref="D3:D4"/>
    <mergeCell ref="E3:H3"/>
    <mergeCell ref="I3:L3"/>
    <mergeCell ref="M3:O3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A1045"/>
  <sheetViews>
    <sheetView topLeftCell="A75" zoomScale="24" zoomScaleNormal="24" workbookViewId="0">
      <selection activeCell="G36" sqref="G36"/>
    </sheetView>
  </sheetViews>
  <sheetFormatPr defaultColWidth="12.6640625" defaultRowHeight="15" customHeight="1"/>
  <cols>
    <col min="1" max="1" width="8.6640625" customWidth="1"/>
    <col min="2" max="2" width="28.109375" customWidth="1"/>
    <col min="3" max="3" width="21.33203125" bestFit="1" customWidth="1"/>
    <col min="4" max="4" width="22.44140625" bestFit="1" customWidth="1"/>
    <col min="5" max="5" width="26.77734375" bestFit="1" customWidth="1"/>
    <col min="6" max="6" width="14.88671875" bestFit="1" customWidth="1"/>
    <col min="7" max="7" width="15.5546875" bestFit="1" customWidth="1"/>
    <col min="8" max="8" width="26.6640625" bestFit="1" customWidth="1"/>
    <col min="9" max="11" width="16.6640625" customWidth="1"/>
    <col min="12" max="12" width="28.109375" customWidth="1"/>
    <col min="13" max="13" width="10.6640625" customWidth="1"/>
    <col min="14" max="21" width="8.6640625" customWidth="1"/>
    <col min="22" max="22" width="25.44140625" bestFit="1" customWidth="1"/>
    <col min="23" max="70" width="8.6640625" customWidth="1"/>
    <col min="76" max="76" width="20.33203125" customWidth="1"/>
    <col min="78" max="78" width="20.44140625" bestFit="1" customWidth="1"/>
    <col min="79" max="79" width="30.109375" bestFit="1" customWidth="1"/>
  </cols>
  <sheetData>
    <row r="1" spans="2:79" ht="16.5" customHeight="1">
      <c r="Q1" s="198" t="s">
        <v>64</v>
      </c>
    </row>
    <row r="2" spans="2:79" ht="16.5" customHeight="1">
      <c r="B2" s="125" t="s">
        <v>65</v>
      </c>
      <c r="C2" s="125" t="s">
        <v>66</v>
      </c>
      <c r="E2" s="125" t="s">
        <v>67</v>
      </c>
      <c r="F2" s="125" t="s">
        <v>68</v>
      </c>
      <c r="H2" s="125" t="s">
        <v>69</v>
      </c>
      <c r="I2" s="125" t="s">
        <v>68</v>
      </c>
      <c r="L2" s="126" t="s">
        <v>70</v>
      </c>
      <c r="M2" s="126" t="s">
        <v>68</v>
      </c>
      <c r="Q2" t="s">
        <v>71</v>
      </c>
      <c r="R2">
        <f>-0.1615*1+8.3</f>
        <v>8.1385000000000005</v>
      </c>
      <c r="S2" s="164">
        <f>(R2-R3)/R2 *100</f>
        <v>1.9843951588130515</v>
      </c>
      <c r="BW2" s="242" t="s">
        <v>1</v>
      </c>
      <c r="BX2" s="243" t="s">
        <v>14</v>
      </c>
      <c r="BZ2" s="242" t="s">
        <v>1</v>
      </c>
      <c r="CA2" s="243" t="s">
        <v>33</v>
      </c>
    </row>
    <row r="3" spans="2:79" ht="16.5" customHeight="1">
      <c r="B3" s="127" t="s">
        <v>0</v>
      </c>
      <c r="C3" s="128">
        <f>'Run 1 Gen 1 '!D37</f>
        <v>7.1701388888888875</v>
      </c>
      <c r="E3" s="127" t="s">
        <v>0</v>
      </c>
      <c r="F3" s="129">
        <f>'Run 1 Gen 1 '!U37</f>
        <v>173.89309790047304</v>
      </c>
      <c r="H3" s="127" t="s">
        <v>0</v>
      </c>
      <c r="I3" s="129">
        <v>1.4E-2</v>
      </c>
      <c r="L3" s="127" t="s">
        <v>0</v>
      </c>
      <c r="M3" s="129">
        <f>'Run 1 Gen 1 '!AD37</f>
        <v>15.346524757333331</v>
      </c>
      <c r="R3">
        <f>-0.1615*2+8.3</f>
        <v>7.9770000000000003</v>
      </c>
      <c r="BW3" s="240"/>
      <c r="BX3" s="239"/>
      <c r="BZ3" s="240"/>
      <c r="CA3" s="239"/>
    </row>
    <row r="4" spans="2:79" ht="16.5" customHeight="1">
      <c r="B4" s="127" t="s">
        <v>72</v>
      </c>
      <c r="C4" s="128">
        <f>'Run 2 Gen 1+2'!D43</f>
        <v>8.8868055555555543</v>
      </c>
      <c r="E4" s="127" t="s">
        <v>72</v>
      </c>
      <c r="F4" s="129">
        <f>'Run 2 Gen 1+2'!N43</f>
        <v>164.26488063841526</v>
      </c>
      <c r="H4" s="127" t="s">
        <v>72</v>
      </c>
      <c r="I4" s="129">
        <v>0.48</v>
      </c>
      <c r="L4" s="127" t="s">
        <v>72</v>
      </c>
      <c r="M4" s="129">
        <f>'Run 2 Gen 1+2'!T42</f>
        <v>20.349999999999998</v>
      </c>
      <c r="Q4" t="s">
        <v>73</v>
      </c>
      <c r="R4">
        <f>-0.1273*1+10.625</f>
        <v>10.4977</v>
      </c>
      <c r="S4" s="164">
        <f>(R4-R5)/R4 *100</f>
        <v>1.2126465797269874</v>
      </c>
      <c r="BW4" s="241">
        <v>1</v>
      </c>
      <c r="BX4" s="245">
        <v>100</v>
      </c>
      <c r="BZ4" s="241">
        <v>1</v>
      </c>
      <c r="CA4" s="245">
        <v>5.08</v>
      </c>
    </row>
    <row r="5" spans="2:79" ht="16.5" customHeight="1">
      <c r="B5" s="127" t="s">
        <v>36</v>
      </c>
      <c r="C5" s="128">
        <f>'Run 3 Zeolite  '!D8</f>
        <v>0.5215277777777777</v>
      </c>
      <c r="E5" s="127" t="s">
        <v>36</v>
      </c>
      <c r="F5" s="129">
        <f>'Run 3 Zeolite  '!N8</f>
        <v>5.8627361403508766</v>
      </c>
      <c r="H5" s="127" t="s">
        <v>36</v>
      </c>
      <c r="I5" s="129">
        <v>7.6999999999999999E-2</v>
      </c>
      <c r="L5" s="127" t="s">
        <v>36</v>
      </c>
      <c r="M5" s="130">
        <f>'Run 3 Zeolite  '!T7</f>
        <v>1.1600000000000001</v>
      </c>
      <c r="R5">
        <f>-0.1273*2+10.625</f>
        <v>10.3704</v>
      </c>
      <c r="BW5" s="241">
        <v>2</v>
      </c>
      <c r="BX5" s="245">
        <v>100</v>
      </c>
      <c r="BZ5" s="241">
        <v>2</v>
      </c>
      <c r="CA5" s="245">
        <v>2.04</v>
      </c>
    </row>
    <row r="6" spans="2:79" ht="16.5" customHeight="1">
      <c r="B6" s="127" t="s">
        <v>41</v>
      </c>
      <c r="C6" s="128">
        <f>'Run 4 Gen 1 + Zeolite '!$D$18</f>
        <v>3.072222222222222</v>
      </c>
      <c r="E6" s="127" t="s">
        <v>41</v>
      </c>
      <c r="F6" s="129">
        <f>'Run 4 Gen 1 + Zeolite '!N18</f>
        <v>65.90408446919723</v>
      </c>
      <c r="H6" s="127" t="s">
        <v>41</v>
      </c>
      <c r="I6" s="129">
        <v>0.106</v>
      </c>
      <c r="L6" s="127" t="s">
        <v>41</v>
      </c>
      <c r="M6" s="130">
        <f>'Run 4 Gen 1 + Zeolite '!T17</f>
        <v>15.020000000000001</v>
      </c>
      <c r="Q6" t="s">
        <v>56</v>
      </c>
      <c r="R6">
        <f>-0.09*1+12.092</f>
        <v>12.002000000000001</v>
      </c>
      <c r="S6" s="164">
        <f>(R6-R7)/R6 *100</f>
        <v>0.74987502082986046</v>
      </c>
      <c r="BW6" s="241">
        <v>3</v>
      </c>
      <c r="BX6" s="245">
        <v>99.99</v>
      </c>
      <c r="BZ6" s="241">
        <v>3</v>
      </c>
      <c r="CA6" s="245">
        <v>6.89</v>
      </c>
    </row>
    <row r="7" spans="2:79" ht="16.5" customHeight="1">
      <c r="B7" s="127" t="s">
        <v>74</v>
      </c>
      <c r="C7" s="128">
        <f>'Run 5 Gen 1+Gen 2.2+ Zeolite'!D23</f>
        <v>8.8319444444444457</v>
      </c>
      <c r="E7" s="127" t="s">
        <v>74</v>
      </c>
      <c r="F7" s="129">
        <f>'Run 5 Gen 1+Gen 2.2+ Zeolite'!N23</f>
        <v>39.874708711466603</v>
      </c>
      <c r="H7" s="127" t="s">
        <v>74</v>
      </c>
      <c r="I7" s="129">
        <v>0.215</v>
      </c>
      <c r="L7" s="127" t="s">
        <v>74</v>
      </c>
      <c r="M7" s="130">
        <f>'Run 5 Gen 1+Gen 2.2+ Zeolite'!T23</f>
        <v>18.66</v>
      </c>
      <c r="R7">
        <f>-0.09*2+12.092</f>
        <v>11.912000000000001</v>
      </c>
      <c r="BW7" s="241">
        <v>4</v>
      </c>
      <c r="BX7" s="245">
        <v>100</v>
      </c>
      <c r="BZ7" s="241">
        <v>4</v>
      </c>
      <c r="CA7" s="245">
        <v>5.67</v>
      </c>
    </row>
    <row r="8" spans="2:79" ht="16.5" customHeight="1" thickBot="1">
      <c r="B8" s="131" t="s">
        <v>19</v>
      </c>
      <c r="C8" s="132">
        <f>SUM(C3:C7)</f>
        <v>28.482638888888886</v>
      </c>
      <c r="E8" s="133" t="s">
        <v>19</v>
      </c>
      <c r="F8" s="134">
        <f>SUM(F3:F7)</f>
        <v>449.79950785990303</v>
      </c>
      <c r="H8" s="133" t="s">
        <v>19</v>
      </c>
      <c r="I8" s="134">
        <f>SUM(I3:I7)</f>
        <v>0.8919999999999999</v>
      </c>
      <c r="L8" s="117" t="s">
        <v>19</v>
      </c>
      <c r="M8" s="135">
        <f>SUM(M3:M7)</f>
        <v>70.536524757333339</v>
      </c>
      <c r="Q8" t="s">
        <v>57</v>
      </c>
      <c r="R8">
        <f>-0.1731*1+18.399</f>
        <v>18.225899999999999</v>
      </c>
      <c r="S8" s="164">
        <f>(R8-R9)/R8 *100</f>
        <v>0.9497473375800265</v>
      </c>
      <c r="BW8" s="241">
        <v>5</v>
      </c>
      <c r="BX8" s="245">
        <v>100</v>
      </c>
      <c r="BZ8" s="241">
        <v>5</v>
      </c>
      <c r="CA8" s="245" t="s">
        <v>18</v>
      </c>
    </row>
    <row r="9" spans="2:79" ht="16.5" customHeight="1" thickTop="1">
      <c r="R9">
        <f>-0.1731*2+18.399</f>
        <v>18.052800000000001</v>
      </c>
      <c r="BW9" s="241">
        <v>6</v>
      </c>
      <c r="BX9" s="245">
        <v>100</v>
      </c>
      <c r="BZ9" s="241">
        <v>6</v>
      </c>
      <c r="CA9" s="245">
        <v>24.82</v>
      </c>
    </row>
    <row r="10" spans="2:79" ht="16.5" customHeight="1">
      <c r="BW10" s="241">
        <v>7</v>
      </c>
      <c r="BX10" s="245" t="s">
        <v>18</v>
      </c>
      <c r="BZ10" s="241">
        <v>7</v>
      </c>
      <c r="CA10" s="245" t="s">
        <v>18</v>
      </c>
    </row>
    <row r="11" spans="2:79" ht="16.5" customHeight="1">
      <c r="B11" s="125" t="s">
        <v>78</v>
      </c>
      <c r="C11" s="125" t="s">
        <v>79</v>
      </c>
      <c r="E11" s="125" t="s">
        <v>75</v>
      </c>
      <c r="F11" s="125" t="s">
        <v>68</v>
      </c>
      <c r="L11" s="126" t="s">
        <v>76</v>
      </c>
      <c r="M11" s="126" t="s">
        <v>77</v>
      </c>
      <c r="BW11" s="241">
        <v>8</v>
      </c>
      <c r="BX11" s="245">
        <v>100</v>
      </c>
      <c r="BZ11" s="241">
        <v>8</v>
      </c>
      <c r="CA11" s="245">
        <v>16.95</v>
      </c>
    </row>
    <row r="12" spans="2:79" ht="16.5" customHeight="1">
      <c r="B12" s="127" t="s">
        <v>0</v>
      </c>
      <c r="C12" s="129">
        <f>'Run 1 Gen 1 '!E37</f>
        <v>20.594040106928126</v>
      </c>
      <c r="E12" s="127" t="s">
        <v>0</v>
      </c>
      <c r="F12" s="129">
        <f>'Run 1 Gen 1 '!K37</f>
        <v>4.7206735360136127</v>
      </c>
      <c r="L12" s="177" t="s">
        <v>0</v>
      </c>
      <c r="M12" s="178">
        <v>9.24</v>
      </c>
      <c r="BW12" s="241">
        <v>9</v>
      </c>
      <c r="BX12" s="245">
        <v>100</v>
      </c>
      <c r="BZ12" s="241">
        <v>9</v>
      </c>
      <c r="CA12" s="245">
        <v>9.86</v>
      </c>
    </row>
    <row r="13" spans="2:79" ht="16.5" customHeight="1">
      <c r="B13" s="127" t="s">
        <v>72</v>
      </c>
      <c r="C13" s="129">
        <f>'Run 2 Gen 1+2'!E43</f>
        <v>21.219526577614669</v>
      </c>
      <c r="E13" s="127" t="s">
        <v>72</v>
      </c>
      <c r="F13" s="129">
        <f>'Run 2 Gen 1+2'!H43</f>
        <v>4.3352631578947367</v>
      </c>
      <c r="L13" s="177" t="s">
        <v>72</v>
      </c>
      <c r="M13" s="178">
        <v>22.78</v>
      </c>
      <c r="BW13" s="241">
        <v>10</v>
      </c>
      <c r="BX13" s="245">
        <v>99.99</v>
      </c>
      <c r="BZ13" s="241">
        <v>10</v>
      </c>
      <c r="CA13" s="245">
        <v>6.01</v>
      </c>
    </row>
    <row r="14" spans="2:79" ht="16.5" customHeight="1">
      <c r="B14" s="127" t="s">
        <v>36</v>
      </c>
      <c r="C14" s="129">
        <f>'Run 3 Zeolite  '!E8</f>
        <v>22.879629629629608</v>
      </c>
      <c r="E14" s="127" t="s">
        <v>36</v>
      </c>
      <c r="F14" s="129">
        <f>'Run 3 Zeolite  '!H8</f>
        <v>1.9799999999999998</v>
      </c>
      <c r="L14" s="177" t="s">
        <v>36</v>
      </c>
      <c r="M14" s="178">
        <v>21.16</v>
      </c>
      <c r="BW14" s="241">
        <v>11</v>
      </c>
      <c r="BX14" s="245">
        <v>99.99</v>
      </c>
      <c r="BZ14" s="241">
        <v>11</v>
      </c>
      <c r="CA14" s="245">
        <v>12.22</v>
      </c>
    </row>
    <row r="15" spans="2:79" ht="16.5" customHeight="1">
      <c r="B15" s="127" t="s">
        <v>41</v>
      </c>
      <c r="C15" s="129">
        <f>'Run 4 Gen 1 + Zeolite '!E18</f>
        <v>21.153531515954228</v>
      </c>
      <c r="E15" s="127" t="s">
        <v>41</v>
      </c>
      <c r="F15" s="129">
        <f>'Run 4 Gen 1 + Zeolite '!H18</f>
        <v>5.0776923076923079</v>
      </c>
      <c r="L15" s="177" t="s">
        <v>41</v>
      </c>
      <c r="M15" s="178">
        <v>24.63</v>
      </c>
      <c r="BW15" s="241">
        <v>12</v>
      </c>
      <c r="BX15" s="245">
        <v>99.99</v>
      </c>
      <c r="BZ15" s="241">
        <v>12</v>
      </c>
      <c r="CA15" s="245">
        <v>11.15</v>
      </c>
    </row>
    <row r="16" spans="2:79" ht="16.5" customHeight="1">
      <c r="B16" s="127" t="s">
        <v>74</v>
      </c>
      <c r="C16" s="129">
        <f>'Run 5 Gen 1+Gen 2.2+ Zeolite'!E23</f>
        <v>20.040829794972876</v>
      </c>
      <c r="E16" s="127" t="s">
        <v>74</v>
      </c>
      <c r="F16" s="129">
        <f>'Run 5 Gen 1+Gen 2.2+ Zeolite'!H23</f>
        <v>2.2272222222222222</v>
      </c>
      <c r="L16" s="177" t="s">
        <v>74</v>
      </c>
      <c r="M16" s="178">
        <v>51.19</v>
      </c>
      <c r="BW16" s="241">
        <v>13</v>
      </c>
      <c r="BX16" s="245">
        <v>100</v>
      </c>
      <c r="BZ16" s="241">
        <v>13</v>
      </c>
      <c r="CA16" s="245">
        <v>8.76</v>
      </c>
    </row>
    <row r="17" spans="2:79" ht="16.5" customHeight="1" thickBot="1">
      <c r="B17" s="133" t="s">
        <v>19</v>
      </c>
      <c r="C17" s="134">
        <f>SUM(C12:C16)</f>
        <v>105.8875576250995</v>
      </c>
      <c r="E17" s="133" t="s">
        <v>19</v>
      </c>
      <c r="F17" s="134">
        <f>SUM(F12:F16)</f>
        <v>18.340851223822881</v>
      </c>
      <c r="L17" s="117" t="s">
        <v>19</v>
      </c>
      <c r="M17" s="135">
        <f>AVERAGE(M12:M16)</f>
        <v>25.8</v>
      </c>
      <c r="BW17" s="241">
        <v>14</v>
      </c>
      <c r="BX17" s="245">
        <v>99.99</v>
      </c>
      <c r="BZ17" s="241">
        <v>14</v>
      </c>
      <c r="CA17" s="245">
        <v>13.1</v>
      </c>
    </row>
    <row r="18" spans="2:79" ht="16.5" customHeight="1" thickTop="1">
      <c r="BW18" s="241">
        <v>15</v>
      </c>
      <c r="BX18" s="245">
        <v>99.97</v>
      </c>
      <c r="BZ18" s="241">
        <v>15</v>
      </c>
      <c r="CA18" s="245">
        <v>19.82</v>
      </c>
    </row>
    <row r="19" spans="2:79" ht="16.5" customHeight="1">
      <c r="E19" s="125" t="s">
        <v>136</v>
      </c>
      <c r="F19" s="125" t="s">
        <v>77</v>
      </c>
      <c r="L19" s="126" t="s">
        <v>137</v>
      </c>
      <c r="M19" s="126" t="s">
        <v>77</v>
      </c>
      <c r="BW19" s="241">
        <v>16</v>
      </c>
      <c r="BX19" s="245">
        <v>100</v>
      </c>
      <c r="BZ19" s="241">
        <v>16</v>
      </c>
      <c r="CA19" s="245">
        <v>5.34</v>
      </c>
    </row>
    <row r="20" spans="2:79" ht="16.5" customHeight="1">
      <c r="E20" s="127" t="s">
        <v>136</v>
      </c>
      <c r="F20" s="129">
        <f>'All Run w Tables'!O107</f>
        <v>99.538399999999982</v>
      </c>
      <c r="L20" s="177" t="s">
        <v>137</v>
      </c>
      <c r="M20" s="238">
        <f>'All Run w Tables'!U107</f>
        <v>41.41137931034482</v>
      </c>
      <c r="BW20" s="241">
        <v>17</v>
      </c>
      <c r="BX20" s="245" t="s">
        <v>18</v>
      </c>
      <c r="BZ20" s="241">
        <v>17</v>
      </c>
      <c r="CA20" s="245" t="s">
        <v>18</v>
      </c>
    </row>
    <row r="21" spans="2:79" ht="16.5" customHeight="1">
      <c r="BW21" s="241">
        <v>18</v>
      </c>
      <c r="BX21" s="245">
        <v>99.99</v>
      </c>
      <c r="BZ21" s="241">
        <v>18</v>
      </c>
      <c r="CA21" s="245">
        <v>9.76</v>
      </c>
    </row>
    <row r="22" spans="2:79" ht="16.5" customHeight="1">
      <c r="BW22" s="241">
        <v>19</v>
      </c>
      <c r="BX22" s="245">
        <v>99.99</v>
      </c>
      <c r="BZ22" s="241">
        <v>19</v>
      </c>
      <c r="CA22" s="245">
        <v>12.97</v>
      </c>
    </row>
    <row r="23" spans="2:79" ht="16.5" customHeight="1">
      <c r="B23" s="248" t="s">
        <v>138</v>
      </c>
      <c r="C23" s="248" t="s">
        <v>139</v>
      </c>
      <c r="D23" s="248" t="s">
        <v>140</v>
      </c>
      <c r="BW23" s="241">
        <v>20</v>
      </c>
      <c r="BX23" s="245">
        <v>99.99</v>
      </c>
      <c r="BZ23" s="241">
        <v>20</v>
      </c>
      <c r="CA23" s="245">
        <v>4.46</v>
      </c>
    </row>
    <row r="24" spans="2:79" ht="16.5" customHeight="1">
      <c r="B24" s="247" t="s">
        <v>0</v>
      </c>
      <c r="C24" s="238">
        <v>173.89309790047304</v>
      </c>
      <c r="D24" s="238">
        <v>15.346524757333331</v>
      </c>
      <c r="BW24" s="241">
        <v>21</v>
      </c>
      <c r="BX24" s="245">
        <v>99.95</v>
      </c>
      <c r="BZ24" s="241">
        <v>21</v>
      </c>
      <c r="CA24" s="245">
        <v>10.97</v>
      </c>
    </row>
    <row r="25" spans="2:79" ht="16.5" customHeight="1">
      <c r="B25" s="247" t="s">
        <v>72</v>
      </c>
      <c r="C25" s="238">
        <v>164.26488063841526</v>
      </c>
      <c r="D25" s="238">
        <v>20.349999999999998</v>
      </c>
      <c r="BW25" s="241">
        <v>22</v>
      </c>
      <c r="BX25" s="245">
        <v>99.99</v>
      </c>
      <c r="BZ25" s="241">
        <v>22</v>
      </c>
      <c r="CA25" s="245">
        <v>16.079999999999998</v>
      </c>
    </row>
    <row r="26" spans="2:79" ht="16.5" customHeight="1">
      <c r="B26" s="247" t="s">
        <v>36</v>
      </c>
      <c r="C26" s="238">
        <v>5.8627361403508766</v>
      </c>
      <c r="D26" s="247">
        <v>1.1600000000000001</v>
      </c>
      <c r="BW26" s="241">
        <v>23</v>
      </c>
      <c r="BX26" s="245">
        <v>99.99</v>
      </c>
      <c r="BZ26" s="241">
        <v>23</v>
      </c>
      <c r="CA26" s="245">
        <v>9.94</v>
      </c>
    </row>
    <row r="27" spans="2:79" ht="16.5" customHeight="1">
      <c r="B27" s="247" t="s">
        <v>41</v>
      </c>
      <c r="C27" s="238">
        <v>65.90408446919723</v>
      </c>
      <c r="D27" s="247">
        <v>15.020000000000001</v>
      </c>
      <c r="BW27" s="241">
        <v>24</v>
      </c>
      <c r="BX27" s="245">
        <v>99.95</v>
      </c>
      <c r="BZ27" s="241">
        <v>24</v>
      </c>
      <c r="CA27" s="245">
        <v>8.16</v>
      </c>
    </row>
    <row r="28" spans="2:79" ht="16.5" customHeight="1">
      <c r="B28" s="247" t="s">
        <v>74</v>
      </c>
      <c r="C28" s="238">
        <v>39.874708711466603</v>
      </c>
      <c r="D28" s="247">
        <v>18.66</v>
      </c>
      <c r="BW28" s="241">
        <v>25</v>
      </c>
      <c r="BX28" s="245">
        <v>99.99</v>
      </c>
      <c r="BZ28" s="241">
        <v>25</v>
      </c>
      <c r="CA28" s="245">
        <v>7.52</v>
      </c>
    </row>
    <row r="29" spans="2:79" ht="16.5" customHeight="1">
      <c r="BW29" s="241">
        <v>26</v>
      </c>
      <c r="BX29" s="245">
        <v>99.99</v>
      </c>
      <c r="BZ29" s="241">
        <v>26</v>
      </c>
      <c r="CA29" s="245">
        <v>7.29</v>
      </c>
    </row>
    <row r="30" spans="2:79" ht="16.5" customHeight="1">
      <c r="BW30" s="241">
        <v>27</v>
      </c>
      <c r="BX30" s="245">
        <v>100</v>
      </c>
      <c r="BZ30" s="241">
        <v>27</v>
      </c>
      <c r="CA30" s="245">
        <v>6.35</v>
      </c>
    </row>
    <row r="31" spans="2:79" ht="16.5" customHeight="1">
      <c r="BW31" s="241">
        <v>28</v>
      </c>
      <c r="BX31" s="245">
        <v>100</v>
      </c>
      <c r="BZ31" s="241">
        <v>28</v>
      </c>
      <c r="CA31" s="245">
        <v>8.51</v>
      </c>
    </row>
    <row r="32" spans="2:79" ht="16.5" customHeight="1">
      <c r="BW32" s="241">
        <v>29</v>
      </c>
      <c r="BX32" s="245">
        <v>99.98</v>
      </c>
      <c r="BZ32" s="241">
        <v>29</v>
      </c>
      <c r="CA32" s="245">
        <v>2.2200000000000002</v>
      </c>
    </row>
    <row r="33" spans="2:79" ht="16.5" customHeight="1">
      <c r="BW33" s="241">
        <v>30</v>
      </c>
      <c r="BX33" s="245">
        <v>99.99</v>
      </c>
      <c r="BZ33" s="241">
        <v>30</v>
      </c>
      <c r="CA33" s="245">
        <v>6.64</v>
      </c>
    </row>
    <row r="34" spans="2:79" ht="16.5" customHeight="1">
      <c r="BW34" s="241">
        <v>31</v>
      </c>
      <c r="BX34" s="245">
        <v>100</v>
      </c>
      <c r="BZ34" s="241">
        <v>31</v>
      </c>
      <c r="CA34" s="245">
        <v>5.61</v>
      </c>
    </row>
    <row r="35" spans="2:79" ht="16.5" customHeight="1">
      <c r="BW35" s="241">
        <v>32</v>
      </c>
      <c r="BX35" s="245">
        <v>100</v>
      </c>
      <c r="BZ35" s="241">
        <v>32</v>
      </c>
      <c r="CA35" s="245">
        <v>2</v>
      </c>
    </row>
    <row r="36" spans="2:79" ht="16.5" customHeight="1">
      <c r="BW36" s="241">
        <v>33</v>
      </c>
      <c r="BX36" s="245">
        <v>100</v>
      </c>
      <c r="BZ36" s="241">
        <v>33</v>
      </c>
      <c r="CA36" s="245">
        <v>2.91</v>
      </c>
    </row>
    <row r="37" spans="2:79" ht="16.5" customHeight="1">
      <c r="BW37" s="241">
        <v>34</v>
      </c>
      <c r="BX37" s="245">
        <v>99.98</v>
      </c>
      <c r="BZ37" s="241">
        <v>34</v>
      </c>
      <c r="CA37" s="245">
        <v>4.84</v>
      </c>
    </row>
    <row r="38" spans="2:79" ht="16.5" customHeight="1">
      <c r="BW38" s="241">
        <v>35</v>
      </c>
      <c r="BX38" s="245">
        <v>99.99</v>
      </c>
      <c r="BZ38" s="241">
        <v>35</v>
      </c>
      <c r="CA38" s="245">
        <v>2.39</v>
      </c>
    </row>
    <row r="39" spans="2:79" ht="16.5" customHeight="1">
      <c r="BW39" s="241">
        <v>36</v>
      </c>
      <c r="BX39" s="245">
        <v>100</v>
      </c>
      <c r="BZ39" s="241">
        <v>36</v>
      </c>
      <c r="CA39" s="245">
        <v>2.5099999999999998</v>
      </c>
    </row>
    <row r="40" spans="2:79" ht="20.399999999999999">
      <c r="B40" s="148" t="s">
        <v>80</v>
      </c>
      <c r="V40" s="148" t="s">
        <v>81</v>
      </c>
      <c r="AM40" s="167" t="s">
        <v>82</v>
      </c>
      <c r="BE40" s="40" t="s">
        <v>23</v>
      </c>
      <c r="BW40" s="241">
        <v>37</v>
      </c>
      <c r="BX40" s="245">
        <v>100</v>
      </c>
      <c r="BZ40" s="241">
        <v>37</v>
      </c>
      <c r="CA40" s="245">
        <v>3.8</v>
      </c>
    </row>
    <row r="41" spans="2:79" ht="16.5" customHeight="1">
      <c r="BW41" s="241">
        <v>38</v>
      </c>
      <c r="BX41" s="245">
        <v>100</v>
      </c>
      <c r="BZ41" s="241">
        <v>38</v>
      </c>
      <c r="CA41" s="245">
        <v>5.62</v>
      </c>
    </row>
    <row r="42" spans="2:79" ht="16.5" customHeight="1">
      <c r="BW42" s="241">
        <v>39</v>
      </c>
      <c r="BX42" s="245">
        <v>100</v>
      </c>
      <c r="BZ42" s="241">
        <v>39</v>
      </c>
      <c r="CA42" s="245" t="s">
        <v>18</v>
      </c>
    </row>
    <row r="43" spans="2:79" ht="16.5" customHeight="1">
      <c r="G43" s="105"/>
      <c r="H43" s="176"/>
      <c r="I43" s="176"/>
      <c r="J43" s="176"/>
      <c r="K43" s="176"/>
      <c r="BW43" s="241">
        <v>40</v>
      </c>
      <c r="BX43" s="245">
        <v>100</v>
      </c>
      <c r="BZ43" s="241">
        <v>40</v>
      </c>
      <c r="CA43" s="245">
        <v>6.4</v>
      </c>
    </row>
    <row r="44" spans="2:79" ht="16.5" customHeight="1">
      <c r="G44" s="105"/>
      <c r="H44" s="176"/>
      <c r="I44" s="176"/>
      <c r="J44" s="176"/>
      <c r="K44" s="176"/>
      <c r="BW44" s="241">
        <v>41</v>
      </c>
      <c r="BX44" s="245">
        <v>100</v>
      </c>
      <c r="BZ44" s="241">
        <v>41</v>
      </c>
      <c r="CA44" s="245">
        <v>46.67</v>
      </c>
    </row>
    <row r="45" spans="2:79" ht="16.5" customHeight="1">
      <c r="G45" s="105"/>
      <c r="H45" s="176"/>
      <c r="I45" s="176"/>
      <c r="J45" s="176"/>
      <c r="K45" s="176"/>
      <c r="BW45" s="241">
        <v>42</v>
      </c>
      <c r="BX45" s="245">
        <v>99.38</v>
      </c>
      <c r="BZ45" s="241">
        <v>42</v>
      </c>
      <c r="CA45" s="245">
        <v>3.47</v>
      </c>
    </row>
    <row r="46" spans="2:79" ht="16.5" customHeight="1">
      <c r="BW46" s="241">
        <v>43</v>
      </c>
      <c r="BX46" s="245">
        <v>98.9</v>
      </c>
      <c r="BZ46" s="241">
        <v>43</v>
      </c>
      <c r="CA46" s="245">
        <v>3.82</v>
      </c>
    </row>
    <row r="47" spans="2:79" ht="16.5" customHeight="1">
      <c r="BW47" s="241">
        <v>44</v>
      </c>
      <c r="BX47" s="245">
        <v>91.65</v>
      </c>
      <c r="BZ47" s="241">
        <v>44</v>
      </c>
      <c r="CA47" s="245">
        <v>54.55</v>
      </c>
    </row>
    <row r="48" spans="2:79" ht="16.5" customHeight="1">
      <c r="BW48" s="241">
        <v>45</v>
      </c>
      <c r="BX48" s="245">
        <v>94.4</v>
      </c>
      <c r="BZ48" s="241">
        <v>45</v>
      </c>
      <c r="CA48" s="245">
        <v>74.91</v>
      </c>
    </row>
    <row r="49" spans="75:79" ht="16.5" customHeight="1">
      <c r="BW49" s="241">
        <v>46</v>
      </c>
      <c r="BX49" s="245">
        <v>98.95</v>
      </c>
      <c r="BZ49" s="241">
        <v>46</v>
      </c>
      <c r="CA49" s="245">
        <v>51.55</v>
      </c>
    </row>
    <row r="50" spans="75:79" ht="16.5" customHeight="1">
      <c r="BW50" s="241">
        <v>47</v>
      </c>
      <c r="BX50" s="245">
        <v>99.7</v>
      </c>
      <c r="BZ50" s="241">
        <v>47</v>
      </c>
      <c r="CA50" s="245">
        <v>18.690000000000001</v>
      </c>
    </row>
    <row r="51" spans="75:79" ht="16.5" customHeight="1">
      <c r="BW51" s="241">
        <v>48</v>
      </c>
      <c r="BX51" s="245">
        <v>99.8</v>
      </c>
      <c r="BZ51" s="241">
        <v>48</v>
      </c>
      <c r="CA51" s="245">
        <v>12.08</v>
      </c>
    </row>
    <row r="52" spans="75:79" ht="16.5" customHeight="1">
      <c r="BW52" s="241">
        <v>49</v>
      </c>
      <c r="BX52" s="245">
        <v>99.69</v>
      </c>
      <c r="BZ52" s="241">
        <v>49</v>
      </c>
      <c r="CA52" s="245">
        <v>16.059999999999999</v>
      </c>
    </row>
    <row r="53" spans="75:79" ht="16.5" customHeight="1">
      <c r="BW53" s="241">
        <v>50</v>
      </c>
      <c r="BX53" s="245">
        <v>99.76</v>
      </c>
      <c r="BZ53" s="241">
        <v>50</v>
      </c>
      <c r="CA53" s="245">
        <v>11.98</v>
      </c>
    </row>
    <row r="54" spans="75:79" ht="16.5" customHeight="1">
      <c r="BW54" s="241">
        <v>51</v>
      </c>
      <c r="BX54" s="245">
        <v>99.84</v>
      </c>
      <c r="BZ54" s="241">
        <v>51</v>
      </c>
      <c r="CA54" s="245">
        <v>13.66</v>
      </c>
    </row>
    <row r="55" spans="75:79" ht="16.5" customHeight="1">
      <c r="BW55" s="241">
        <v>52</v>
      </c>
      <c r="BX55" s="245">
        <v>99.77</v>
      </c>
      <c r="BZ55" s="241">
        <v>52</v>
      </c>
      <c r="CA55" s="245">
        <v>14.87</v>
      </c>
    </row>
    <row r="56" spans="75:79" ht="16.5" customHeight="1">
      <c r="BW56" s="241">
        <v>53</v>
      </c>
      <c r="BX56" s="245">
        <v>99.69</v>
      </c>
      <c r="BZ56" s="241">
        <v>53</v>
      </c>
      <c r="CA56" s="245">
        <v>12.91</v>
      </c>
    </row>
    <row r="57" spans="75:79" ht="16.5" customHeight="1">
      <c r="BW57" s="241">
        <v>54</v>
      </c>
      <c r="BX57" s="245">
        <v>99.82</v>
      </c>
      <c r="BZ57" s="241">
        <v>54</v>
      </c>
      <c r="CA57" s="245">
        <v>15.08</v>
      </c>
    </row>
    <row r="58" spans="75:79" ht="16.5" customHeight="1">
      <c r="BW58" s="241">
        <v>55</v>
      </c>
      <c r="BX58" s="245">
        <v>99.9</v>
      </c>
      <c r="BZ58" s="241">
        <v>55</v>
      </c>
      <c r="CA58" s="245">
        <v>18.850000000000001</v>
      </c>
    </row>
    <row r="59" spans="75:79" ht="16.5" customHeight="1">
      <c r="BW59" s="241">
        <v>56</v>
      </c>
      <c r="BX59" s="245">
        <v>98.91</v>
      </c>
      <c r="BZ59" s="241">
        <v>56</v>
      </c>
      <c r="CA59" s="245">
        <v>14.44</v>
      </c>
    </row>
    <row r="60" spans="75:79" ht="16.5" customHeight="1">
      <c r="BW60" s="241">
        <v>57</v>
      </c>
      <c r="BX60" s="245">
        <v>99.64</v>
      </c>
      <c r="BZ60" s="241">
        <v>57</v>
      </c>
      <c r="CA60" s="245">
        <v>18.3</v>
      </c>
    </row>
    <row r="61" spans="75:79" ht="16.5" customHeight="1">
      <c r="BW61" s="241">
        <v>58</v>
      </c>
      <c r="BX61" s="245">
        <v>99.74</v>
      </c>
      <c r="BZ61" s="241">
        <v>58</v>
      </c>
      <c r="CA61" s="245">
        <v>17.55</v>
      </c>
    </row>
    <row r="62" spans="75:79" ht="16.5" customHeight="1">
      <c r="BW62" s="241">
        <v>59</v>
      </c>
      <c r="BX62" s="245">
        <v>100</v>
      </c>
      <c r="BZ62" s="241">
        <v>59</v>
      </c>
      <c r="CA62" s="245">
        <v>41.73</v>
      </c>
    </row>
    <row r="63" spans="75:79" ht="16.5" customHeight="1">
      <c r="BW63" s="241">
        <v>60</v>
      </c>
      <c r="BX63" s="245">
        <v>99.66</v>
      </c>
      <c r="BZ63" s="241">
        <v>60</v>
      </c>
      <c r="CA63" s="245">
        <v>14.53</v>
      </c>
    </row>
    <row r="64" spans="75:79" ht="16.5" customHeight="1">
      <c r="BW64" s="241">
        <v>61</v>
      </c>
      <c r="BX64" s="245">
        <v>99.93</v>
      </c>
      <c r="BZ64" s="241">
        <v>61</v>
      </c>
      <c r="CA64" s="245">
        <v>8.94</v>
      </c>
    </row>
    <row r="65" spans="2:79" ht="16.5" customHeight="1">
      <c r="B65" s="148" t="s">
        <v>83</v>
      </c>
      <c r="V65" s="148" t="s">
        <v>84</v>
      </c>
      <c r="BW65" s="241">
        <v>62</v>
      </c>
      <c r="BX65" s="245">
        <v>99.56</v>
      </c>
      <c r="BZ65" s="241">
        <v>62</v>
      </c>
      <c r="CA65" s="245">
        <v>16.010000000000002</v>
      </c>
    </row>
    <row r="66" spans="2:79" ht="16.5" customHeight="1">
      <c r="BW66" s="241">
        <v>63</v>
      </c>
      <c r="BX66" s="245">
        <v>99.41</v>
      </c>
      <c r="BZ66" s="241">
        <v>63</v>
      </c>
      <c r="CA66" s="245">
        <v>30.22</v>
      </c>
    </row>
    <row r="67" spans="2:79" ht="16.5" customHeight="1">
      <c r="BW67" s="241">
        <v>64</v>
      </c>
      <c r="BX67" s="245">
        <v>99.03</v>
      </c>
      <c r="BZ67" s="241">
        <v>64</v>
      </c>
      <c r="CA67" s="245">
        <v>98.61</v>
      </c>
    </row>
    <row r="68" spans="2:79" ht="16.5" customHeight="1">
      <c r="BW68" s="241">
        <v>65</v>
      </c>
      <c r="BX68" s="245">
        <v>98.96</v>
      </c>
      <c r="BZ68" s="241">
        <v>65</v>
      </c>
      <c r="CA68" s="245">
        <v>44.7</v>
      </c>
    </row>
    <row r="69" spans="2:79" ht="16.5" customHeight="1">
      <c r="BW69" s="241">
        <v>66</v>
      </c>
      <c r="BX69" s="245">
        <v>98.8</v>
      </c>
      <c r="BZ69" s="241">
        <v>66</v>
      </c>
      <c r="CA69" s="245">
        <v>72.3</v>
      </c>
    </row>
    <row r="70" spans="2:79" ht="16.5" customHeight="1">
      <c r="BW70" s="241">
        <v>67</v>
      </c>
      <c r="BX70" s="245">
        <v>99.53</v>
      </c>
      <c r="BZ70" s="241">
        <v>67</v>
      </c>
      <c r="CA70" s="245">
        <v>26.47</v>
      </c>
    </row>
    <row r="71" spans="2:79" ht="16.5" customHeight="1">
      <c r="BW71" s="241">
        <v>68</v>
      </c>
      <c r="BX71" s="245">
        <v>99.67</v>
      </c>
      <c r="BZ71" s="241">
        <v>68</v>
      </c>
      <c r="CA71" s="245">
        <v>56.79</v>
      </c>
    </row>
    <row r="72" spans="2:79" ht="16.5" customHeight="1">
      <c r="BW72" s="241">
        <v>69</v>
      </c>
      <c r="BX72" s="245">
        <v>99.82</v>
      </c>
      <c r="BZ72" s="241">
        <v>69</v>
      </c>
      <c r="CA72" s="245">
        <v>14</v>
      </c>
    </row>
    <row r="73" spans="2:79" ht="16.5" customHeight="1">
      <c r="BW73" s="241">
        <v>70</v>
      </c>
      <c r="BX73" s="245">
        <v>95.16</v>
      </c>
      <c r="BZ73" s="241">
        <v>70</v>
      </c>
      <c r="CA73" s="245">
        <v>49.5</v>
      </c>
    </row>
    <row r="74" spans="2:79" ht="16.5" customHeight="1">
      <c r="BW74" s="241">
        <v>71</v>
      </c>
      <c r="BX74" s="245">
        <v>99.58</v>
      </c>
      <c r="BZ74" s="241">
        <v>71</v>
      </c>
      <c r="CA74" s="245" t="s">
        <v>18</v>
      </c>
    </row>
    <row r="75" spans="2:79" ht="16.5" customHeight="1">
      <c r="BW75" s="241">
        <v>72</v>
      </c>
      <c r="BX75" s="245">
        <v>99.95</v>
      </c>
      <c r="BZ75" s="241">
        <v>72</v>
      </c>
      <c r="CA75" s="245">
        <v>15.91</v>
      </c>
    </row>
    <row r="76" spans="2:79" ht="16.5" customHeight="1">
      <c r="BW76" s="241">
        <v>73</v>
      </c>
      <c r="BX76" s="245">
        <v>99.76</v>
      </c>
      <c r="BZ76" s="241">
        <v>73</v>
      </c>
      <c r="CA76" s="245" t="s">
        <v>18</v>
      </c>
    </row>
    <row r="77" spans="2:79" ht="16.5" customHeight="1">
      <c r="BW77" s="241">
        <v>74</v>
      </c>
      <c r="BX77" s="245">
        <v>99.73</v>
      </c>
      <c r="BZ77" s="241">
        <v>74</v>
      </c>
      <c r="CA77" s="245">
        <v>38.85</v>
      </c>
    </row>
    <row r="78" spans="2:79" ht="16.5" customHeight="1">
      <c r="BW78" s="241">
        <v>75</v>
      </c>
      <c r="BX78" s="245">
        <v>99.83</v>
      </c>
      <c r="BZ78" s="241">
        <v>75</v>
      </c>
      <c r="CA78" s="245">
        <v>25.13</v>
      </c>
    </row>
    <row r="79" spans="2:79" ht="16.5" customHeight="1">
      <c r="BW79" s="241">
        <v>76</v>
      </c>
      <c r="BX79" s="245">
        <v>99.9</v>
      </c>
      <c r="BZ79" s="241">
        <v>76</v>
      </c>
      <c r="CA79" s="245">
        <v>22.56</v>
      </c>
    </row>
    <row r="80" spans="2:79" ht="16.5" customHeight="1">
      <c r="BW80" s="241">
        <v>77</v>
      </c>
      <c r="BX80" s="245">
        <v>99.87</v>
      </c>
      <c r="BZ80" s="241">
        <v>77</v>
      </c>
      <c r="CA80" s="245">
        <v>24.75</v>
      </c>
    </row>
    <row r="81" spans="2:79" ht="16.5" customHeight="1">
      <c r="BW81" s="241">
        <v>78</v>
      </c>
      <c r="BX81" s="245">
        <v>99.9</v>
      </c>
      <c r="BZ81" s="241">
        <v>78</v>
      </c>
      <c r="CA81" s="245">
        <v>43.03</v>
      </c>
    </row>
    <row r="82" spans="2:79" ht="16.5" customHeight="1">
      <c r="BW82" s="241">
        <v>79</v>
      </c>
      <c r="BX82" s="245">
        <v>99.84</v>
      </c>
      <c r="BZ82" s="241">
        <v>79</v>
      </c>
      <c r="CA82" s="245">
        <v>19.5</v>
      </c>
    </row>
    <row r="83" spans="2:79" ht="16.5" customHeight="1">
      <c r="BW83" s="241">
        <v>80</v>
      </c>
      <c r="BX83" s="245">
        <v>99.79</v>
      </c>
      <c r="BZ83" s="241">
        <v>80</v>
      </c>
      <c r="CA83" s="245">
        <v>27.84</v>
      </c>
    </row>
    <row r="84" spans="2:79" ht="16.5" customHeight="1">
      <c r="BW84" s="241">
        <v>81</v>
      </c>
      <c r="BX84" s="245">
        <v>99.88</v>
      </c>
      <c r="BZ84" s="241">
        <v>81</v>
      </c>
      <c r="CA84" s="245">
        <v>12.38</v>
      </c>
    </row>
    <row r="85" spans="2:79" ht="16.5" customHeight="1">
      <c r="BW85" s="241">
        <v>82</v>
      </c>
      <c r="BX85" s="245">
        <v>99.73</v>
      </c>
      <c r="BZ85" s="241">
        <v>82</v>
      </c>
      <c r="CA85" s="245">
        <v>20.32</v>
      </c>
    </row>
    <row r="86" spans="2:79" ht="16.5" customHeight="1">
      <c r="BW86" s="241">
        <v>83</v>
      </c>
      <c r="BX86" s="245">
        <v>99.74</v>
      </c>
      <c r="BZ86" s="241">
        <v>83</v>
      </c>
      <c r="CA86" s="245">
        <v>33.67</v>
      </c>
    </row>
    <row r="87" spans="2:79" ht="16.5" customHeight="1">
      <c r="BW87" s="241">
        <v>84</v>
      </c>
      <c r="BX87" s="245">
        <v>99.85</v>
      </c>
      <c r="BZ87" s="241">
        <v>84</v>
      </c>
      <c r="CA87" s="245">
        <v>11.59</v>
      </c>
    </row>
    <row r="88" spans="2:79" ht="16.5" customHeight="1">
      <c r="BW88" s="241">
        <v>85</v>
      </c>
      <c r="BX88" s="245">
        <v>99.65</v>
      </c>
      <c r="BZ88" s="241">
        <v>85</v>
      </c>
      <c r="CA88" s="245">
        <v>29.92</v>
      </c>
    </row>
    <row r="89" spans="2:79" ht="16.5" customHeight="1">
      <c r="B89" s="148" t="s">
        <v>85</v>
      </c>
      <c r="BW89" s="241">
        <v>86</v>
      </c>
      <c r="BX89" s="245">
        <v>99.5</v>
      </c>
      <c r="BZ89" s="241">
        <v>86</v>
      </c>
      <c r="CA89" s="245">
        <v>4.7699999999999996</v>
      </c>
    </row>
    <row r="90" spans="2:79" ht="16.5" customHeight="1">
      <c r="BW90" s="241">
        <v>87</v>
      </c>
      <c r="BX90" s="245">
        <v>99.8</v>
      </c>
      <c r="BZ90" s="241">
        <v>87</v>
      </c>
      <c r="CA90" s="245">
        <v>24.54</v>
      </c>
    </row>
    <row r="91" spans="2:79" ht="16.5" customHeight="1">
      <c r="BW91" s="241">
        <v>88</v>
      </c>
      <c r="BX91" s="245">
        <v>99.92</v>
      </c>
      <c r="BZ91" s="241">
        <v>88</v>
      </c>
      <c r="CA91" s="245">
        <v>22.74</v>
      </c>
    </row>
    <row r="92" spans="2:79" ht="16.5" customHeight="1">
      <c r="BW92" s="241">
        <v>89</v>
      </c>
      <c r="BX92" s="245">
        <v>99.55</v>
      </c>
      <c r="BZ92" s="241">
        <v>89</v>
      </c>
      <c r="CA92" s="245">
        <v>29.99</v>
      </c>
    </row>
    <row r="93" spans="2:79" ht="16.5" customHeight="1">
      <c r="BW93" s="241">
        <v>90</v>
      </c>
      <c r="BX93" s="245">
        <v>99.65</v>
      </c>
      <c r="BZ93" s="241">
        <v>90</v>
      </c>
      <c r="CA93" s="245">
        <v>24.14</v>
      </c>
    </row>
    <row r="94" spans="2:79" ht="16.5" customHeight="1">
      <c r="BW94" s="241">
        <v>91</v>
      </c>
      <c r="BX94" s="245">
        <v>99.37</v>
      </c>
      <c r="BZ94" s="241">
        <v>91</v>
      </c>
      <c r="CA94" s="245">
        <v>145.41999999999999</v>
      </c>
    </row>
    <row r="95" spans="2:79" ht="16.5" customHeight="1">
      <c r="BW95" s="241">
        <v>92</v>
      </c>
      <c r="BX95" s="245">
        <v>99.53</v>
      </c>
      <c r="BZ95" s="241">
        <v>92</v>
      </c>
      <c r="CA95" s="245">
        <v>19.47</v>
      </c>
    </row>
    <row r="96" spans="2:79" ht="16.5" customHeight="1">
      <c r="BW96" s="241">
        <v>93</v>
      </c>
      <c r="BX96" s="245">
        <v>99.1</v>
      </c>
      <c r="BZ96" s="241">
        <v>93</v>
      </c>
      <c r="CA96" s="245">
        <v>2.59</v>
      </c>
    </row>
    <row r="97" spans="75:79" ht="16.5" customHeight="1">
      <c r="BW97" s="241">
        <v>94</v>
      </c>
      <c r="BX97" s="245">
        <v>99.18</v>
      </c>
      <c r="BZ97" s="241">
        <v>94</v>
      </c>
      <c r="CA97" s="245">
        <v>34.58</v>
      </c>
    </row>
    <row r="98" spans="75:79" ht="16.5" customHeight="1">
      <c r="BW98" s="241">
        <v>95</v>
      </c>
      <c r="BX98" s="245">
        <v>99.18</v>
      </c>
      <c r="BZ98" s="241">
        <v>95</v>
      </c>
      <c r="CA98" s="245">
        <v>41.4</v>
      </c>
    </row>
    <row r="99" spans="75:79" ht="16.5" customHeight="1">
      <c r="BW99" s="241">
        <v>96</v>
      </c>
      <c r="BX99" s="245">
        <v>99.43</v>
      </c>
      <c r="BZ99" s="241">
        <v>96</v>
      </c>
      <c r="CA99" s="245">
        <v>153.59</v>
      </c>
    </row>
    <row r="100" spans="75:79" ht="16.5" customHeight="1">
      <c r="BW100" s="241">
        <v>97</v>
      </c>
      <c r="BX100" s="245">
        <v>99.2</v>
      </c>
      <c r="BZ100" s="241">
        <v>97</v>
      </c>
      <c r="CA100" s="245">
        <v>135.31</v>
      </c>
    </row>
    <row r="101" spans="75:79" ht="16.5" customHeight="1">
      <c r="BW101" s="241">
        <v>98</v>
      </c>
      <c r="BX101" s="245">
        <v>99.09</v>
      </c>
      <c r="BZ101" s="241">
        <v>98</v>
      </c>
      <c r="CA101" s="245">
        <v>198.84</v>
      </c>
    </row>
    <row r="102" spans="75:79" ht="16.5" customHeight="1">
      <c r="BW102" s="241">
        <v>99</v>
      </c>
      <c r="BX102" s="245">
        <v>98.54</v>
      </c>
      <c r="BZ102" s="241">
        <v>99</v>
      </c>
      <c r="CA102" s="245">
        <v>20.85</v>
      </c>
    </row>
    <row r="103" spans="75:79" ht="16.5" customHeight="1">
      <c r="BW103" s="241">
        <v>100</v>
      </c>
      <c r="BX103" s="245">
        <v>99.2</v>
      </c>
      <c r="BZ103" s="241">
        <v>100</v>
      </c>
      <c r="CA103" s="245">
        <v>9.36</v>
      </c>
    </row>
    <row r="104" spans="75:79" ht="16.5" customHeight="1">
      <c r="BW104" s="241">
        <v>101</v>
      </c>
      <c r="BX104" s="245">
        <v>98.38</v>
      </c>
      <c r="BZ104" s="241">
        <v>101</v>
      </c>
      <c r="CA104" s="245">
        <v>22.72</v>
      </c>
    </row>
    <row r="105" spans="75:79" ht="16.5" customHeight="1">
      <c r="BW105" s="244">
        <v>102</v>
      </c>
      <c r="BX105" s="246">
        <v>99.46</v>
      </c>
      <c r="BZ105" s="244">
        <v>102</v>
      </c>
      <c r="CA105" s="246">
        <v>1.08</v>
      </c>
    </row>
    <row r="106" spans="75:79" ht="16.5" customHeight="1">
      <c r="BW106" s="178"/>
    </row>
    <row r="107" spans="75:79" ht="16.5" customHeight="1"/>
    <row r="108" spans="75:79" ht="16.5" customHeight="1"/>
    <row r="109" spans="75:79" ht="16.5" customHeight="1"/>
    <row r="110" spans="75:79" ht="16.5" customHeight="1"/>
    <row r="111" spans="75:79" ht="16.5" customHeight="1"/>
    <row r="112" spans="75:79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spans="2:12" ht="16.5" customHeight="1"/>
    <row r="130" spans="2:12" ht="16.5" customHeight="1"/>
    <row r="131" spans="2:12" ht="16.5" customHeight="1"/>
    <row r="132" spans="2:12" ht="16.5" customHeight="1"/>
    <row r="133" spans="2:12" ht="16.5" customHeight="1"/>
    <row r="134" spans="2:12" ht="16.5" customHeight="1"/>
    <row r="135" spans="2:12" ht="16.5" customHeight="1"/>
    <row r="136" spans="2:12" ht="16.5" customHeight="1"/>
    <row r="137" spans="2:12" ht="16.5" customHeight="1"/>
    <row r="138" spans="2:12" ht="16.5" customHeight="1"/>
    <row r="139" spans="2:12" ht="18">
      <c r="B139" s="148" t="s">
        <v>86</v>
      </c>
      <c r="L139" s="148" t="s">
        <v>87</v>
      </c>
    </row>
    <row r="140" spans="2:12" ht="16.5" customHeight="1"/>
    <row r="141" spans="2:12" ht="16.5" customHeight="1"/>
    <row r="142" spans="2:12" ht="16.5" customHeight="1"/>
    <row r="143" spans="2:12" ht="16.5" customHeight="1"/>
    <row r="144" spans="2:12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spans="12:12" ht="16.5" customHeight="1"/>
    <row r="162" spans="12:12" ht="16.5" customHeight="1"/>
    <row r="163" spans="12:12" ht="16.5" customHeight="1"/>
    <row r="164" spans="12:12" ht="16.5" customHeight="1">
      <c r="L164" s="123" t="s">
        <v>88</v>
      </c>
    </row>
    <row r="165" spans="12:12" ht="16.5" customHeight="1"/>
    <row r="166" spans="12:12" ht="16.5" customHeight="1"/>
    <row r="167" spans="12:12" ht="16.5" customHeight="1"/>
    <row r="168" spans="12:12" ht="16.5" customHeight="1"/>
    <row r="169" spans="12:12" ht="16.5" customHeight="1"/>
    <row r="170" spans="12:12" ht="16.5" customHeight="1"/>
    <row r="171" spans="12:12" ht="16.5" customHeight="1"/>
    <row r="172" spans="12:12" ht="16.5" customHeight="1"/>
    <row r="173" spans="12:12" ht="16.5" customHeight="1"/>
    <row r="174" spans="12:12" ht="16.5" customHeight="1"/>
    <row r="175" spans="12:12" ht="16.5" customHeight="1"/>
    <row r="176" spans="12:12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</sheetData>
  <pageMargins left="0.7" right="0.7" top="0.75" bottom="0.75" header="0" footer="0"/>
  <pageSetup orientation="landscape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2D4B-F1B0-453C-BD1F-7787B6C537CC}">
  <dimension ref="A1:AB1061"/>
  <sheetViews>
    <sheetView showGridLines="0" zoomScale="42" zoomScaleNormal="42" workbookViewId="0">
      <selection activeCell="U15" sqref="U15"/>
    </sheetView>
  </sheetViews>
  <sheetFormatPr defaultColWidth="12.6640625" defaultRowHeight="15" customHeight="1"/>
  <cols>
    <col min="1" max="1" width="16" bestFit="1" customWidth="1"/>
    <col min="2" max="2" width="9" bestFit="1" customWidth="1"/>
    <col min="3" max="3" width="16.88671875" bestFit="1" customWidth="1"/>
    <col min="4" max="4" width="26.33203125" bestFit="1" customWidth="1"/>
    <col min="5" max="5" width="14" bestFit="1" customWidth="1"/>
    <col min="6" max="6" width="11" bestFit="1" customWidth="1"/>
    <col min="7" max="7" width="9.5546875" bestFit="1" customWidth="1"/>
    <col min="8" max="8" width="8.5546875" bestFit="1" customWidth="1"/>
    <col min="9" max="9" width="14" bestFit="1" customWidth="1"/>
    <col min="10" max="10" width="17.109375" bestFit="1" customWidth="1"/>
    <col min="11" max="11" width="9.5546875" bestFit="1" customWidth="1"/>
    <col min="12" max="12" width="13.88671875" bestFit="1" customWidth="1"/>
    <col min="13" max="13" width="31.33203125" bestFit="1" customWidth="1"/>
    <col min="14" max="14" width="48" bestFit="1" customWidth="1"/>
    <col min="15" max="15" width="18.44140625" bestFit="1" customWidth="1"/>
    <col min="16" max="16" width="14" bestFit="1" customWidth="1"/>
    <col min="17" max="17" width="11" bestFit="1" customWidth="1"/>
    <col min="18" max="18" width="9.5546875" bestFit="1" customWidth="1"/>
    <col min="19" max="19" width="21.88671875" bestFit="1" customWidth="1"/>
    <col min="20" max="20" width="40.33203125" bestFit="1" customWidth="1"/>
    <col min="21" max="21" width="18.44140625" bestFit="1" customWidth="1"/>
    <col min="22" max="26" width="8.6640625" customWidth="1"/>
  </cols>
  <sheetData>
    <row r="1" spans="1:24" ht="16.5" customHeight="1">
      <c r="A1" s="82" t="s">
        <v>89</v>
      </c>
      <c r="C1" s="39"/>
    </row>
    <row r="2" spans="1:24" ht="16.5" customHeight="1" thickBot="1"/>
    <row r="3" spans="1:24" ht="24.6">
      <c r="B3" s="285" t="s">
        <v>1</v>
      </c>
      <c r="C3" s="287" t="s">
        <v>2</v>
      </c>
      <c r="D3" s="287" t="s">
        <v>90</v>
      </c>
      <c r="E3" s="289" t="s">
        <v>4</v>
      </c>
      <c r="F3" s="283"/>
      <c r="G3" s="283"/>
      <c r="H3" s="290"/>
      <c r="I3" s="291" t="s">
        <v>5</v>
      </c>
      <c r="J3" s="283"/>
      <c r="K3" s="283"/>
      <c r="L3" s="290"/>
      <c r="M3" s="292" t="s">
        <v>6</v>
      </c>
      <c r="N3" s="283"/>
      <c r="O3" s="290"/>
      <c r="P3" s="282" t="s">
        <v>7</v>
      </c>
      <c r="Q3" s="283"/>
      <c r="R3" s="283"/>
      <c r="S3" s="283"/>
      <c r="T3" s="283"/>
      <c r="U3" s="284"/>
    </row>
    <row r="4" spans="1:24" ht="69" customHeight="1">
      <c r="B4" s="286"/>
      <c r="C4" s="288"/>
      <c r="D4" s="288"/>
      <c r="E4" s="228" t="s">
        <v>8</v>
      </c>
      <c r="F4" s="229" t="s">
        <v>9</v>
      </c>
      <c r="G4" s="229" t="s">
        <v>10</v>
      </c>
      <c r="H4" s="193" t="s">
        <v>11</v>
      </c>
      <c r="I4" s="230" t="s">
        <v>8</v>
      </c>
      <c r="J4" s="231" t="s">
        <v>9</v>
      </c>
      <c r="K4" s="231" t="s">
        <v>10</v>
      </c>
      <c r="L4" s="194" t="s">
        <v>11</v>
      </c>
      <c r="M4" s="232" t="s">
        <v>91</v>
      </c>
      <c r="N4" s="232" t="s">
        <v>92</v>
      </c>
      <c r="O4" s="195" t="s">
        <v>14</v>
      </c>
      <c r="P4" s="233" t="s">
        <v>8</v>
      </c>
      <c r="Q4" s="234" t="s">
        <v>9</v>
      </c>
      <c r="R4" s="234" t="s">
        <v>10</v>
      </c>
      <c r="S4" s="196" t="s">
        <v>93</v>
      </c>
      <c r="T4" s="235" t="s">
        <v>94</v>
      </c>
      <c r="U4" s="197" t="s">
        <v>33</v>
      </c>
    </row>
    <row r="5" spans="1:24" ht="16.5" customHeight="1">
      <c r="A5" s="179">
        <v>45903</v>
      </c>
      <c r="B5" s="7">
        <v>1</v>
      </c>
      <c r="C5" s="49">
        <v>0.27916666666666667</v>
      </c>
      <c r="D5" s="219">
        <v>0.27916666666666667</v>
      </c>
      <c r="E5" s="180">
        <v>18.079999999999998</v>
      </c>
      <c r="F5" s="180">
        <v>14.9</v>
      </c>
      <c r="G5" s="181">
        <v>48</v>
      </c>
      <c r="H5" s="51">
        <f>E5*F5*1.84*(G5/60)*0.01</f>
        <v>3.96545024</v>
      </c>
      <c r="I5" s="182">
        <v>15</v>
      </c>
      <c r="J5" s="183">
        <v>5.0000000000000001E-4</v>
      </c>
      <c r="K5" s="181">
        <v>48</v>
      </c>
      <c r="L5" s="52">
        <f>I5*J5*1.84*(K5/60)*0.01</f>
        <v>1.1040000000000001E-4</v>
      </c>
      <c r="M5" s="214">
        <f>H5-L5</f>
        <v>3.9653398399999999</v>
      </c>
      <c r="N5" s="220">
        <f>M5</f>
        <v>3.9653398399999999</v>
      </c>
      <c r="O5" s="88">
        <f>ROUND(M5/H5*100,2)</f>
        <v>100</v>
      </c>
      <c r="P5" s="184">
        <v>0.20002732240437293</v>
      </c>
      <c r="Q5" s="180">
        <v>53.879999999999875</v>
      </c>
      <c r="R5" s="181">
        <v>61</v>
      </c>
      <c r="S5" s="55">
        <f t="shared" ref="S5:S7" si="0">P5*Q5*1.84*(R5/60)*0.01</f>
        <v>0.20161057866666754</v>
      </c>
      <c r="T5" s="185">
        <f>S5</f>
        <v>0.20161057866666754</v>
      </c>
      <c r="U5" s="14">
        <f>IFERROR(ROUND(S5/M5 *100,2),0)</f>
        <v>5.08</v>
      </c>
      <c r="W5" s="123"/>
      <c r="X5" s="123"/>
    </row>
    <row r="6" spans="1:24" ht="16.5" customHeight="1">
      <c r="A6" s="179">
        <v>45905</v>
      </c>
      <c r="B6" s="7">
        <v>2</v>
      </c>
      <c r="C6" s="49">
        <v>0.3347222222222222</v>
      </c>
      <c r="D6" s="186">
        <f>D5+C6</f>
        <v>0.61388888888888893</v>
      </c>
      <c r="E6" s="180">
        <v>15.32</v>
      </c>
      <c r="F6" s="180">
        <v>14.9</v>
      </c>
      <c r="G6" s="181">
        <v>141</v>
      </c>
      <c r="H6" s="51">
        <f t="shared" ref="H6:H34" si="1">E6*F6*1.84*(G6/60)*0.01</f>
        <v>9.8703083200000012</v>
      </c>
      <c r="I6" s="182">
        <v>15</v>
      </c>
      <c r="J6" s="183">
        <v>1.5898584905660356E-4</v>
      </c>
      <c r="K6" s="181">
        <v>141</v>
      </c>
      <c r="L6" s="52">
        <f t="shared" ref="L6:L10" si="2">I6*J6*1.84*(K6/60)*0.01</f>
        <v>1.0311822169811307E-4</v>
      </c>
      <c r="M6" s="214">
        <f t="shared" ref="M6:M69" si="3">H6-L6</f>
        <v>9.8702052017783029</v>
      </c>
      <c r="N6" s="187">
        <f>N5+M6</f>
        <v>13.835545041778303</v>
      </c>
      <c r="O6" s="88">
        <f t="shared" ref="O6:O34" si="4">ROUND(M6/H6*100,2)</f>
        <v>100</v>
      </c>
      <c r="P6" s="184">
        <v>0.20002732240437293</v>
      </c>
      <c r="Q6" s="180">
        <v>53.879999999999875</v>
      </c>
      <c r="R6" s="181">
        <v>61</v>
      </c>
      <c r="S6" s="55">
        <f t="shared" si="0"/>
        <v>0.20161057866666754</v>
      </c>
      <c r="T6" s="185">
        <f>T5+S6</f>
        <v>0.40322115733333508</v>
      </c>
      <c r="U6" s="14">
        <f t="shared" ref="U6:U34" si="5">IFERROR(ROUND(S6/M6 *100,2),0)</f>
        <v>2.04</v>
      </c>
      <c r="W6" s="123"/>
      <c r="X6" s="123"/>
    </row>
    <row r="7" spans="1:24" ht="16.5" customHeight="1">
      <c r="A7" s="179">
        <v>45908</v>
      </c>
      <c r="B7" s="7">
        <v>3</v>
      </c>
      <c r="C7" s="49">
        <v>0.24722222222222218</v>
      </c>
      <c r="D7" s="186">
        <f t="shared" ref="D7:D70" si="6">D6+C7</f>
        <v>0.86111111111111116</v>
      </c>
      <c r="E7" s="180">
        <v>16.68</v>
      </c>
      <c r="F7" s="180">
        <v>14.9</v>
      </c>
      <c r="G7" s="181">
        <v>92</v>
      </c>
      <c r="H7" s="51">
        <f t="shared" si="1"/>
        <v>7.011916160000002</v>
      </c>
      <c r="I7" s="182">
        <v>15</v>
      </c>
      <c r="J7" s="183">
        <v>1.6000000000000001E-3</v>
      </c>
      <c r="K7" s="181">
        <v>92</v>
      </c>
      <c r="L7" s="52">
        <f t="shared" si="2"/>
        <v>6.7712000000000013E-4</v>
      </c>
      <c r="M7" s="214">
        <f t="shared" si="3"/>
        <v>7.0112390400000022</v>
      </c>
      <c r="N7" s="187">
        <f t="shared" ref="N7:N34" si="7">N6+M7</f>
        <v>20.846784081778306</v>
      </c>
      <c r="O7" s="88">
        <f t="shared" si="4"/>
        <v>99.99</v>
      </c>
      <c r="P7" s="182">
        <v>0.5</v>
      </c>
      <c r="Q7" s="180">
        <v>53.879999999999825</v>
      </c>
      <c r="R7" s="188">
        <v>58.5</v>
      </c>
      <c r="S7" s="55">
        <f t="shared" si="0"/>
        <v>0.48330359999999845</v>
      </c>
      <c r="T7" s="185">
        <f t="shared" ref="T7:T34" si="8">T6+S7</f>
        <v>0.88652475733333347</v>
      </c>
      <c r="U7" s="14">
        <f t="shared" si="5"/>
        <v>6.89</v>
      </c>
      <c r="W7" s="123"/>
      <c r="X7" s="123"/>
    </row>
    <row r="8" spans="1:24" ht="16.5" customHeight="1">
      <c r="A8" s="179">
        <v>45909</v>
      </c>
      <c r="B8" s="7">
        <v>4</v>
      </c>
      <c r="C8" s="49">
        <v>0.2805555555555555</v>
      </c>
      <c r="D8" s="186">
        <f t="shared" si="6"/>
        <v>1.1416666666666666</v>
      </c>
      <c r="E8" s="180">
        <v>16.57</v>
      </c>
      <c r="F8" s="180">
        <v>14.9</v>
      </c>
      <c r="G8" s="181">
        <v>107.16666666666667</v>
      </c>
      <c r="H8" s="51">
        <f t="shared" si="1"/>
        <v>8.1140012822222225</v>
      </c>
      <c r="I8" s="182">
        <v>15</v>
      </c>
      <c r="J8" s="183">
        <v>5.9543478260869578E-4</v>
      </c>
      <c r="K8" s="181">
        <v>107.16666666666667</v>
      </c>
      <c r="L8" s="52">
        <f t="shared" si="2"/>
        <v>2.9352950000000012E-4</v>
      </c>
      <c r="M8" s="214">
        <f t="shared" si="3"/>
        <v>8.1137077527222221</v>
      </c>
      <c r="N8" s="187">
        <f t="shared" si="7"/>
        <v>28.96049183450053</v>
      </c>
      <c r="O8" s="88">
        <f t="shared" si="4"/>
        <v>100</v>
      </c>
      <c r="P8" s="189">
        <v>0.45699453551912583</v>
      </c>
      <c r="Q8" s="180">
        <v>53.879999999999875</v>
      </c>
      <c r="R8" s="181">
        <v>61</v>
      </c>
      <c r="S8" s="56">
        <f>ROUND(P8*Q8*1.84*(R8/60)*0.01,2)</f>
        <v>0.46</v>
      </c>
      <c r="T8" s="185">
        <f t="shared" si="8"/>
        <v>1.3465247573333334</v>
      </c>
      <c r="U8" s="14">
        <f t="shared" si="5"/>
        <v>5.67</v>
      </c>
      <c r="W8" s="123"/>
      <c r="X8" s="123"/>
    </row>
    <row r="9" spans="1:24" ht="16.5" customHeight="1">
      <c r="A9" s="179">
        <v>45911</v>
      </c>
      <c r="B9" s="7">
        <v>5</v>
      </c>
      <c r="C9" s="49">
        <v>0.27222222222222225</v>
      </c>
      <c r="D9" s="186">
        <f t="shared" si="6"/>
        <v>1.4138888888888888</v>
      </c>
      <c r="E9" s="180">
        <v>16.079999999999998</v>
      </c>
      <c r="F9" s="180">
        <v>14.9</v>
      </c>
      <c r="G9" s="181">
        <v>292</v>
      </c>
      <c r="H9" s="51">
        <f t="shared" si="1"/>
        <v>21.454664959999995</v>
      </c>
      <c r="I9" s="182">
        <v>5</v>
      </c>
      <c r="J9" s="183">
        <v>5.0000000000000001E-4</v>
      </c>
      <c r="K9" s="181">
        <v>292</v>
      </c>
      <c r="L9" s="52">
        <f t="shared" si="2"/>
        <v>2.2386666666666667E-4</v>
      </c>
      <c r="M9" s="214">
        <f t="shared" si="3"/>
        <v>21.45444109333333</v>
      </c>
      <c r="N9" s="187">
        <f t="shared" si="7"/>
        <v>50.41493292783386</v>
      </c>
      <c r="O9" s="88">
        <f t="shared" si="4"/>
        <v>100</v>
      </c>
      <c r="P9" s="189" t="s">
        <v>18</v>
      </c>
      <c r="Q9" s="180" t="s">
        <v>18</v>
      </c>
      <c r="R9" s="181" t="s">
        <v>18</v>
      </c>
      <c r="S9" s="56">
        <v>0</v>
      </c>
      <c r="T9" s="185">
        <f t="shared" si="8"/>
        <v>1.3465247573333334</v>
      </c>
      <c r="U9" s="14">
        <f t="shared" si="5"/>
        <v>0</v>
      </c>
      <c r="W9" s="123"/>
      <c r="X9" s="123"/>
    </row>
    <row r="10" spans="1:24" ht="16.5" customHeight="1">
      <c r="A10" s="179">
        <v>45912</v>
      </c>
      <c r="B10" s="7">
        <v>6</v>
      </c>
      <c r="C10" s="49">
        <v>0.22152777777777782</v>
      </c>
      <c r="D10" s="186">
        <f t="shared" si="6"/>
        <v>1.6354166666666665</v>
      </c>
      <c r="E10" s="180">
        <v>26.75</v>
      </c>
      <c r="F10" s="180">
        <v>14.9</v>
      </c>
      <c r="G10" s="181">
        <v>44.833333333333336</v>
      </c>
      <c r="H10" s="51">
        <f t="shared" si="1"/>
        <v>5.4799633888888888</v>
      </c>
      <c r="I10" s="182">
        <v>15</v>
      </c>
      <c r="J10" s="190">
        <v>4.0222222222222241E-5</v>
      </c>
      <c r="K10" s="181">
        <v>44.833333333333336</v>
      </c>
      <c r="L10" s="52">
        <f t="shared" si="2"/>
        <v>8.2951629629629679E-6</v>
      </c>
      <c r="M10" s="214">
        <f t="shared" si="3"/>
        <v>5.479955093725926</v>
      </c>
      <c r="N10" s="187">
        <f t="shared" si="7"/>
        <v>55.894888021559787</v>
      </c>
      <c r="O10" s="88">
        <f t="shared" si="4"/>
        <v>100</v>
      </c>
      <c r="P10" s="189">
        <v>1.0832894736842078</v>
      </c>
      <c r="Q10" s="180">
        <v>53.880000000000102</v>
      </c>
      <c r="R10" s="181">
        <v>76</v>
      </c>
      <c r="S10" s="56">
        <f t="shared" ref="S10:S73" si="9">ROUND(P10*Q10*1.84*(R10/60)*0.01,2)</f>
        <v>1.36</v>
      </c>
      <c r="T10" s="185">
        <f t="shared" si="8"/>
        <v>2.7065247573333338</v>
      </c>
      <c r="U10" s="14">
        <f t="shared" si="5"/>
        <v>24.82</v>
      </c>
      <c r="W10" s="123"/>
      <c r="X10" s="123"/>
    </row>
    <row r="11" spans="1:24" ht="16.5" customHeight="1">
      <c r="A11" s="179">
        <v>45915</v>
      </c>
      <c r="B11" s="7">
        <v>7</v>
      </c>
      <c r="C11" s="49">
        <v>0.29652777777777778</v>
      </c>
      <c r="D11" s="186">
        <f t="shared" si="6"/>
        <v>1.9319444444444442</v>
      </c>
      <c r="E11" s="180" t="s">
        <v>18</v>
      </c>
      <c r="F11" s="180">
        <v>14.9</v>
      </c>
      <c r="G11" s="181" t="s">
        <v>18</v>
      </c>
      <c r="H11" s="51" t="s">
        <v>18</v>
      </c>
      <c r="I11" s="182" t="s">
        <v>18</v>
      </c>
      <c r="J11" s="190" t="s">
        <v>18</v>
      </c>
      <c r="K11" s="181" t="s">
        <v>18</v>
      </c>
      <c r="L11" s="52" t="s">
        <v>18</v>
      </c>
      <c r="M11" s="214">
        <v>0</v>
      </c>
      <c r="N11" s="187">
        <f t="shared" si="7"/>
        <v>55.894888021559787</v>
      </c>
      <c r="O11" s="88" t="s">
        <v>18</v>
      </c>
      <c r="P11" s="182">
        <v>1.34</v>
      </c>
      <c r="Q11" s="180">
        <v>53.88</v>
      </c>
      <c r="R11" s="188">
        <v>60.833333333333336</v>
      </c>
      <c r="S11" s="56">
        <f t="shared" si="9"/>
        <v>1.35</v>
      </c>
      <c r="T11" s="185">
        <f t="shared" si="8"/>
        <v>4.0565247573333334</v>
      </c>
      <c r="U11" s="14">
        <f>IFERROR(ROUND(S11/M11 *100,2),0)</f>
        <v>0</v>
      </c>
      <c r="W11" s="123"/>
      <c r="X11" s="123"/>
    </row>
    <row r="12" spans="1:24" ht="16.5" customHeight="1">
      <c r="A12" s="179">
        <v>45916</v>
      </c>
      <c r="B12" s="7">
        <v>8</v>
      </c>
      <c r="C12" s="49">
        <v>0.27222222222222225</v>
      </c>
      <c r="D12" s="186">
        <f t="shared" si="6"/>
        <v>2.2041666666666666</v>
      </c>
      <c r="E12" s="188">
        <v>25.37902439024381</v>
      </c>
      <c r="F12" s="180">
        <v>14.9</v>
      </c>
      <c r="G12" s="181">
        <v>68.166666666666671</v>
      </c>
      <c r="H12" s="51">
        <f t="shared" si="1"/>
        <v>7.9049626407587814</v>
      </c>
      <c r="I12" s="189">
        <v>10.487804878048781</v>
      </c>
      <c r="J12" s="183">
        <v>6.9787804878048527E-4</v>
      </c>
      <c r="K12" s="181">
        <v>68.166666666666671</v>
      </c>
      <c r="L12" s="52">
        <f t="shared" ref="L12:L20" si="10">I12*J12*1.84*(K12/60)*0.01</f>
        <v>1.5300399382642556E-4</v>
      </c>
      <c r="M12" s="214">
        <f t="shared" si="3"/>
        <v>7.9048096367649547</v>
      </c>
      <c r="N12" s="187">
        <f t="shared" si="7"/>
        <v>63.799697658324739</v>
      </c>
      <c r="O12" s="88">
        <f t="shared" si="4"/>
        <v>100</v>
      </c>
      <c r="P12" s="189">
        <v>1.3312568306010899</v>
      </c>
      <c r="Q12" s="180">
        <v>53.879999999999875</v>
      </c>
      <c r="R12" s="181">
        <v>61</v>
      </c>
      <c r="S12" s="56">
        <f t="shared" si="9"/>
        <v>1.34</v>
      </c>
      <c r="T12" s="185">
        <f t="shared" si="8"/>
        <v>5.3965247573333333</v>
      </c>
      <c r="U12" s="14">
        <f t="shared" si="5"/>
        <v>16.95</v>
      </c>
      <c r="W12" s="123"/>
      <c r="X12" s="123"/>
    </row>
    <row r="13" spans="1:24" ht="16.5" customHeight="1">
      <c r="A13" s="179">
        <v>45922</v>
      </c>
      <c r="B13" s="7">
        <v>9</v>
      </c>
      <c r="C13" s="49">
        <v>0.24791666666666662</v>
      </c>
      <c r="D13" s="186">
        <f t="shared" si="6"/>
        <v>2.4520833333333334</v>
      </c>
      <c r="E13" s="188">
        <v>18.865611814345996</v>
      </c>
      <c r="F13" s="180">
        <v>14.9</v>
      </c>
      <c r="G13" s="181">
        <v>78.833333333333329</v>
      </c>
      <c r="H13" s="51">
        <f t="shared" si="1"/>
        <v>6.7956910329582767</v>
      </c>
      <c r="I13" s="189">
        <v>12.860759493670885</v>
      </c>
      <c r="J13" s="183">
        <v>7.4373417721518992E-4</v>
      </c>
      <c r="K13" s="181">
        <v>78.833333333333329</v>
      </c>
      <c r="L13" s="52">
        <f t="shared" si="10"/>
        <v>2.312388596271965E-4</v>
      </c>
      <c r="M13" s="214">
        <f t="shared" si="3"/>
        <v>6.7954597940986492</v>
      </c>
      <c r="N13" s="187">
        <f t="shared" si="7"/>
        <v>70.595157452423393</v>
      </c>
      <c r="O13" s="88">
        <f t="shared" si="4"/>
        <v>100</v>
      </c>
      <c r="P13" s="189">
        <v>0.98292682926829122</v>
      </c>
      <c r="Q13" s="180">
        <v>53.879999999999754</v>
      </c>
      <c r="R13" s="181">
        <v>41</v>
      </c>
      <c r="S13" s="56">
        <f t="shared" si="9"/>
        <v>0.67</v>
      </c>
      <c r="T13" s="185">
        <f t="shared" si="8"/>
        <v>6.0665247573333332</v>
      </c>
      <c r="U13" s="14">
        <f t="shared" si="5"/>
        <v>9.86</v>
      </c>
      <c r="W13" s="123"/>
      <c r="X13" s="123"/>
    </row>
    <row r="14" spans="1:24" ht="16.5" customHeight="1">
      <c r="A14" s="179">
        <v>45924</v>
      </c>
      <c r="B14" s="7">
        <v>10</v>
      </c>
      <c r="C14" s="49">
        <v>0.2541666666666666</v>
      </c>
      <c r="D14" s="186">
        <f t="shared" si="6"/>
        <v>2.7062499999999998</v>
      </c>
      <c r="E14" s="188">
        <v>19.039613526569994</v>
      </c>
      <c r="F14" s="180">
        <v>14.9</v>
      </c>
      <c r="G14" s="181">
        <v>68.833333333333329</v>
      </c>
      <c r="H14" s="51">
        <f t="shared" si="1"/>
        <v>5.9883857876543027</v>
      </c>
      <c r="I14" s="189">
        <v>8.169806763285056</v>
      </c>
      <c r="J14" s="191">
        <v>2.7598067632850433E-3</v>
      </c>
      <c r="K14" s="181">
        <v>68.833333333333329</v>
      </c>
      <c r="L14" s="52">
        <f t="shared" si="10"/>
        <v>4.7594397451661518E-4</v>
      </c>
      <c r="M14" s="214">
        <f t="shared" si="3"/>
        <v>5.9879098436797857</v>
      </c>
      <c r="N14" s="187">
        <f t="shared" si="7"/>
        <v>76.583067296103181</v>
      </c>
      <c r="O14" s="88">
        <f t="shared" si="4"/>
        <v>99.99</v>
      </c>
      <c r="P14" s="189">
        <v>0.35327868852459104</v>
      </c>
      <c r="Q14" s="180">
        <v>53.879999999999875</v>
      </c>
      <c r="R14" s="181">
        <v>61</v>
      </c>
      <c r="S14" s="56">
        <f t="shared" si="9"/>
        <v>0.36</v>
      </c>
      <c r="T14" s="185">
        <f t="shared" si="8"/>
        <v>6.4265247573333335</v>
      </c>
      <c r="U14" s="14">
        <f t="shared" si="5"/>
        <v>6.01</v>
      </c>
      <c r="W14" s="123"/>
      <c r="X14" s="123"/>
    </row>
    <row r="15" spans="1:24" ht="16.5" customHeight="1">
      <c r="A15" s="179">
        <v>45925</v>
      </c>
      <c r="B15" s="7">
        <v>11</v>
      </c>
      <c r="C15" s="49">
        <v>0.22361111111111115</v>
      </c>
      <c r="D15" s="186">
        <f t="shared" si="6"/>
        <v>2.9298611111111108</v>
      </c>
      <c r="E15" s="188">
        <v>17.254263565891488</v>
      </c>
      <c r="F15" s="180">
        <v>14.9</v>
      </c>
      <c r="G15" s="181">
        <v>64.333333333333329</v>
      </c>
      <c r="H15" s="51">
        <f t="shared" si="1"/>
        <v>5.0720709863910463</v>
      </c>
      <c r="I15" s="189">
        <v>15.471317829457389</v>
      </c>
      <c r="J15" s="183">
        <v>8.8038759689922552E-4</v>
      </c>
      <c r="K15" s="181">
        <v>64.333333333333329</v>
      </c>
      <c r="L15" s="52">
        <f t="shared" si="10"/>
        <v>2.687223881134287E-4</v>
      </c>
      <c r="M15" s="214">
        <f t="shared" si="3"/>
        <v>5.0718022640029332</v>
      </c>
      <c r="N15" s="187">
        <f t="shared" si="7"/>
        <v>81.654869560106107</v>
      </c>
      <c r="O15" s="88">
        <f t="shared" si="4"/>
        <v>99.99</v>
      </c>
      <c r="P15" s="189">
        <v>0.61743169398907038</v>
      </c>
      <c r="Q15" s="180">
        <v>53.879999999999875</v>
      </c>
      <c r="R15" s="181">
        <v>61</v>
      </c>
      <c r="S15" s="56">
        <f t="shared" si="9"/>
        <v>0.62</v>
      </c>
      <c r="T15" s="185">
        <f t="shared" si="8"/>
        <v>7.0465247573333336</v>
      </c>
      <c r="U15" s="14">
        <f>IFERROR(ROUND(S15/M15 *100,2),0)</f>
        <v>12.22</v>
      </c>
      <c r="W15" s="123"/>
      <c r="X15" s="123"/>
    </row>
    <row r="16" spans="1:24" ht="16.5" customHeight="1">
      <c r="A16" s="179">
        <v>45926</v>
      </c>
      <c r="B16" s="7">
        <v>12</v>
      </c>
      <c r="C16" s="49">
        <v>0.21527777777777785</v>
      </c>
      <c r="D16" s="186">
        <f t="shared" si="6"/>
        <v>3.1451388888888885</v>
      </c>
      <c r="E16" s="188">
        <v>18.801327433628288</v>
      </c>
      <c r="F16" s="180">
        <v>14.9</v>
      </c>
      <c r="G16" s="181">
        <v>75.166666666666671</v>
      </c>
      <c r="H16" s="51">
        <f t="shared" si="1"/>
        <v>6.4575331668633149</v>
      </c>
      <c r="I16" s="189">
        <v>13.846902654867355</v>
      </c>
      <c r="J16" s="191">
        <v>1.2424336283185845E-3</v>
      </c>
      <c r="K16" s="181">
        <v>75.166666666666671</v>
      </c>
      <c r="L16" s="52">
        <f t="shared" si="10"/>
        <v>3.9656803092115748E-4</v>
      </c>
      <c r="M16" s="214">
        <f t="shared" si="3"/>
        <v>6.4571365988323937</v>
      </c>
      <c r="N16" s="187">
        <f t="shared" si="7"/>
        <v>88.112006158938499</v>
      </c>
      <c r="O16" s="88">
        <f t="shared" si="4"/>
        <v>99.99</v>
      </c>
      <c r="P16" s="189">
        <v>0.71112021857923446</v>
      </c>
      <c r="Q16" s="180">
        <v>53.879999999999875</v>
      </c>
      <c r="R16" s="181">
        <v>61</v>
      </c>
      <c r="S16" s="56">
        <f t="shared" si="9"/>
        <v>0.72</v>
      </c>
      <c r="T16" s="185">
        <f t="shared" si="8"/>
        <v>7.7665247573333334</v>
      </c>
      <c r="U16" s="14">
        <f t="shared" si="5"/>
        <v>11.15</v>
      </c>
      <c r="W16" s="123"/>
      <c r="X16" s="123"/>
    </row>
    <row r="17" spans="1:24" ht="16.5" customHeight="1">
      <c r="A17" s="179">
        <v>45929</v>
      </c>
      <c r="B17" s="7">
        <v>13</v>
      </c>
      <c r="C17" s="49">
        <v>0.25277777777777777</v>
      </c>
      <c r="D17" s="186">
        <f t="shared" si="6"/>
        <v>3.3979166666666663</v>
      </c>
      <c r="E17" s="188">
        <v>16.914675767918091</v>
      </c>
      <c r="F17" s="180">
        <v>14.9</v>
      </c>
      <c r="G17" s="181">
        <v>97.5</v>
      </c>
      <c r="H17" s="51">
        <f t="shared" si="1"/>
        <v>7.5356572013651899</v>
      </c>
      <c r="I17" s="189">
        <v>8.1744027303754816</v>
      </c>
      <c r="J17" s="183">
        <v>4.7220136518771601E-4</v>
      </c>
      <c r="K17" s="181">
        <v>97.5</v>
      </c>
      <c r="L17" s="52">
        <f t="shared" si="10"/>
        <v>1.1541292745343713E-4</v>
      </c>
      <c r="M17" s="214">
        <f t="shared" si="3"/>
        <v>7.5355417884377367</v>
      </c>
      <c r="N17" s="187">
        <f t="shared" si="7"/>
        <v>95.647547947376239</v>
      </c>
      <c r="O17" s="88">
        <f t="shared" si="4"/>
        <v>100</v>
      </c>
      <c r="P17" s="189">
        <v>0.64997267759562849</v>
      </c>
      <c r="Q17" s="180">
        <v>53.879999999999875</v>
      </c>
      <c r="R17" s="181">
        <v>61</v>
      </c>
      <c r="S17" s="56">
        <f t="shared" si="9"/>
        <v>0.66</v>
      </c>
      <c r="T17" s="185">
        <f t="shared" si="8"/>
        <v>8.4265247573333326</v>
      </c>
      <c r="U17" s="14">
        <f t="shared" si="5"/>
        <v>8.76</v>
      </c>
      <c r="W17" s="123"/>
      <c r="X17" s="123"/>
    </row>
    <row r="18" spans="1:24" ht="16.5" customHeight="1">
      <c r="A18" s="179">
        <v>45930</v>
      </c>
      <c r="B18" s="7">
        <v>14</v>
      </c>
      <c r="C18" s="49">
        <v>0.2729166666666667</v>
      </c>
      <c r="D18" s="186">
        <f t="shared" si="6"/>
        <v>3.6708333333333329</v>
      </c>
      <c r="E18" s="188">
        <v>16.450639386189213</v>
      </c>
      <c r="F18" s="180">
        <v>14.9</v>
      </c>
      <c r="G18" s="181">
        <v>65</v>
      </c>
      <c r="H18" s="51">
        <f t="shared" si="1"/>
        <v>4.8859495686274377</v>
      </c>
      <c r="I18" s="189">
        <v>11.693094629156009</v>
      </c>
      <c r="J18" s="191">
        <v>1.2670843989769824E-3</v>
      </c>
      <c r="K18" s="181">
        <v>65</v>
      </c>
      <c r="L18" s="52">
        <f t="shared" si="10"/>
        <v>2.9533501308861144E-4</v>
      </c>
      <c r="M18" s="214">
        <f t="shared" si="3"/>
        <v>4.8856542336143489</v>
      </c>
      <c r="N18" s="187">
        <f t="shared" si="7"/>
        <v>100.53320218099059</v>
      </c>
      <c r="O18" s="88">
        <f t="shared" si="4"/>
        <v>99.99</v>
      </c>
      <c r="P18" s="189">
        <v>0.63377049180327805</v>
      </c>
      <c r="Q18" s="180">
        <v>53.88</v>
      </c>
      <c r="R18" s="181">
        <v>61</v>
      </c>
      <c r="S18" s="56">
        <f t="shared" si="9"/>
        <v>0.64</v>
      </c>
      <c r="T18" s="185">
        <f t="shared" si="8"/>
        <v>9.0665247573333332</v>
      </c>
      <c r="U18" s="14">
        <f t="shared" si="5"/>
        <v>13.1</v>
      </c>
      <c r="W18" s="123"/>
      <c r="X18" s="123"/>
    </row>
    <row r="19" spans="1:24" ht="16.5" customHeight="1">
      <c r="A19" s="179">
        <v>45931</v>
      </c>
      <c r="B19" s="7">
        <v>15</v>
      </c>
      <c r="C19" s="49">
        <v>0.21944444444444444</v>
      </c>
      <c r="D19" s="186">
        <f t="shared" si="6"/>
        <v>3.8902777777777775</v>
      </c>
      <c r="E19" s="188">
        <v>14.8</v>
      </c>
      <c r="F19" s="180">
        <v>14.9</v>
      </c>
      <c r="G19" s="181">
        <v>50</v>
      </c>
      <c r="H19" s="51">
        <f t="shared" si="1"/>
        <v>3.3813066666666676</v>
      </c>
      <c r="I19" s="189">
        <v>11.76</v>
      </c>
      <c r="J19" s="191">
        <v>6.0000000000000001E-3</v>
      </c>
      <c r="K19" s="181">
        <v>50</v>
      </c>
      <c r="L19" s="52">
        <f t="shared" si="10"/>
        <v>1.0819200000000001E-3</v>
      </c>
      <c r="M19" s="214">
        <f t="shared" si="3"/>
        <v>3.3802247466666677</v>
      </c>
      <c r="N19" s="187">
        <f t="shared" si="7"/>
        <v>103.91342692765726</v>
      </c>
      <c r="O19" s="88">
        <f t="shared" si="4"/>
        <v>99.97</v>
      </c>
      <c r="P19" s="189">
        <v>0.66024590163934371</v>
      </c>
      <c r="Q19" s="180">
        <v>53.88</v>
      </c>
      <c r="R19" s="188">
        <v>61</v>
      </c>
      <c r="S19" s="56">
        <f t="shared" si="9"/>
        <v>0.67</v>
      </c>
      <c r="T19" s="185">
        <f t="shared" si="8"/>
        <v>9.7365247573333331</v>
      </c>
      <c r="U19" s="14">
        <f t="shared" si="5"/>
        <v>19.82</v>
      </c>
      <c r="W19" s="123"/>
      <c r="X19" s="123"/>
    </row>
    <row r="20" spans="1:24" ht="16.5" customHeight="1">
      <c r="A20" s="179">
        <v>45932</v>
      </c>
      <c r="B20" s="7">
        <v>16</v>
      </c>
      <c r="C20" s="49">
        <v>0.27083333333333326</v>
      </c>
      <c r="D20" s="186">
        <f t="shared" si="6"/>
        <v>4.1611111111111105</v>
      </c>
      <c r="E20" s="188">
        <v>17.334862385321102</v>
      </c>
      <c r="F20" s="180">
        <v>14.9</v>
      </c>
      <c r="G20" s="181">
        <v>108.83333333333333</v>
      </c>
      <c r="H20" s="51">
        <f t="shared" si="1"/>
        <v>8.6205538725790039</v>
      </c>
      <c r="I20" s="189">
        <v>9.4954128440366965</v>
      </c>
      <c r="J20" s="183">
        <v>8.622782874617732E-4</v>
      </c>
      <c r="K20" s="181">
        <v>108.83333333333333</v>
      </c>
      <c r="L20" s="52">
        <f t="shared" si="10"/>
        <v>2.732686465925986E-4</v>
      </c>
      <c r="M20" s="214">
        <f t="shared" si="3"/>
        <v>8.6202806039324109</v>
      </c>
      <c r="N20" s="187">
        <f t="shared" si="7"/>
        <v>112.53370753158967</v>
      </c>
      <c r="O20" s="88">
        <f t="shared" si="4"/>
        <v>100</v>
      </c>
      <c r="P20" s="189">
        <v>0.46010928961748715</v>
      </c>
      <c r="Q20" s="180">
        <v>53.879999999999875</v>
      </c>
      <c r="R20" s="181">
        <v>61</v>
      </c>
      <c r="S20" s="56">
        <f t="shared" si="9"/>
        <v>0.46</v>
      </c>
      <c r="T20" s="185">
        <f t="shared" si="8"/>
        <v>10.196524757333334</v>
      </c>
      <c r="U20" s="14">
        <f t="shared" si="5"/>
        <v>5.34</v>
      </c>
      <c r="W20" s="123"/>
      <c r="X20" s="123"/>
    </row>
    <row r="21" spans="1:24" ht="16.5" customHeight="1">
      <c r="A21" s="179">
        <v>45936</v>
      </c>
      <c r="B21" s="7">
        <v>17</v>
      </c>
      <c r="C21" s="49">
        <v>0.18472222222222223</v>
      </c>
      <c r="D21" s="186">
        <f t="shared" si="6"/>
        <v>4.3458333333333332</v>
      </c>
      <c r="E21" s="188" t="s">
        <v>18</v>
      </c>
      <c r="F21" s="180">
        <v>14.9</v>
      </c>
      <c r="G21" s="181" t="s">
        <v>18</v>
      </c>
      <c r="H21" s="51" t="s">
        <v>18</v>
      </c>
      <c r="I21" s="189" t="s">
        <v>18</v>
      </c>
      <c r="J21" s="183" t="s">
        <v>18</v>
      </c>
      <c r="K21" s="181" t="s">
        <v>18</v>
      </c>
      <c r="L21" s="52" t="s">
        <v>18</v>
      </c>
      <c r="M21" s="214">
        <v>0</v>
      </c>
      <c r="N21" s="187">
        <f t="shared" si="7"/>
        <v>112.53370753158967</v>
      </c>
      <c r="O21" s="88" t="s">
        <v>18</v>
      </c>
      <c r="P21" s="189">
        <v>0.36491935483870847</v>
      </c>
      <c r="Q21" s="180">
        <v>53.88</v>
      </c>
      <c r="R21" s="188">
        <v>62</v>
      </c>
      <c r="S21" s="56">
        <f t="shared" si="9"/>
        <v>0.37</v>
      </c>
      <c r="T21" s="185">
        <f t="shared" si="8"/>
        <v>10.566524757333333</v>
      </c>
      <c r="U21" s="14">
        <f t="shared" si="5"/>
        <v>0</v>
      </c>
      <c r="W21" s="123"/>
      <c r="X21" s="123"/>
    </row>
    <row r="22" spans="1:24" ht="16.5" customHeight="1">
      <c r="A22" s="179">
        <v>45939</v>
      </c>
      <c r="B22" s="7">
        <v>18</v>
      </c>
      <c r="C22" s="49">
        <v>0.24166666666666664</v>
      </c>
      <c r="D22" s="186">
        <f t="shared" si="6"/>
        <v>4.5874999999999995</v>
      </c>
      <c r="E22" s="188">
        <v>16.920425531914926</v>
      </c>
      <c r="F22" s="180">
        <v>14.9</v>
      </c>
      <c r="G22" s="181">
        <v>78.166666666666671</v>
      </c>
      <c r="H22" s="51">
        <f t="shared" si="1"/>
        <v>6.0434608670449306</v>
      </c>
      <c r="I22" s="182">
        <v>14.800000000000118</v>
      </c>
      <c r="J22" s="191">
        <v>2.0828723404255332E-3</v>
      </c>
      <c r="K22" s="181">
        <v>78.166666666666671</v>
      </c>
      <c r="L22" s="52">
        <f t="shared" ref="L22:L85" si="11">I22*J22*1.84*(K22/60)*0.01</f>
        <v>7.3894571167849345E-4</v>
      </c>
      <c r="M22" s="214">
        <f t="shared" si="3"/>
        <v>6.0427219213332517</v>
      </c>
      <c r="N22" s="187">
        <f t="shared" si="7"/>
        <v>118.57642945292292</v>
      </c>
      <c r="O22" s="88">
        <f t="shared" si="4"/>
        <v>99.99</v>
      </c>
      <c r="P22" s="189">
        <v>0.5818579234972675</v>
      </c>
      <c r="Q22" s="180">
        <v>53.879999999999875</v>
      </c>
      <c r="R22" s="181">
        <v>61</v>
      </c>
      <c r="S22" s="56">
        <f t="shared" si="9"/>
        <v>0.59</v>
      </c>
      <c r="T22" s="185">
        <f t="shared" si="8"/>
        <v>11.156524757333333</v>
      </c>
      <c r="U22" s="14">
        <f t="shared" si="5"/>
        <v>9.76</v>
      </c>
      <c r="W22" s="123"/>
      <c r="X22" s="123"/>
    </row>
    <row r="23" spans="1:24" ht="16.5" customHeight="1">
      <c r="A23" s="179">
        <v>45940</v>
      </c>
      <c r="B23" s="7">
        <v>19</v>
      </c>
      <c r="C23" s="49">
        <v>0.22291666666666671</v>
      </c>
      <c r="D23" s="186">
        <f t="shared" si="6"/>
        <v>4.8104166666666659</v>
      </c>
      <c r="E23" s="188">
        <v>18.121246458923547</v>
      </c>
      <c r="F23" s="180">
        <v>14.9</v>
      </c>
      <c r="G23" s="181">
        <v>58.666666666666664</v>
      </c>
      <c r="H23" s="51">
        <f t="shared" si="1"/>
        <v>4.8577182418634024</v>
      </c>
      <c r="I23" s="189">
        <v>10.065155807365439</v>
      </c>
      <c r="J23" s="191">
        <v>3.6769688385269142E-3</v>
      </c>
      <c r="K23" s="181">
        <v>58.666666666666664</v>
      </c>
      <c r="L23" s="52">
        <f t="shared" si="11"/>
        <v>6.6583778541696244E-4</v>
      </c>
      <c r="M23" s="214">
        <f t="shared" si="3"/>
        <v>4.8570524040779857</v>
      </c>
      <c r="N23" s="187">
        <f t="shared" si="7"/>
        <v>123.43348185700091</v>
      </c>
      <c r="O23" s="88">
        <f t="shared" si="4"/>
        <v>99.99</v>
      </c>
      <c r="P23" s="189">
        <v>0.6255191256830589</v>
      </c>
      <c r="Q23" s="180">
        <v>53.879999999999875</v>
      </c>
      <c r="R23" s="181">
        <v>61</v>
      </c>
      <c r="S23" s="56">
        <f t="shared" si="9"/>
        <v>0.63</v>
      </c>
      <c r="T23" s="185">
        <f t="shared" si="8"/>
        <v>11.786524757333334</v>
      </c>
      <c r="U23" s="14">
        <f t="shared" si="5"/>
        <v>12.97</v>
      </c>
      <c r="W23" s="123"/>
      <c r="X23" s="123"/>
    </row>
    <row r="24" spans="1:24" ht="16.5" customHeight="1">
      <c r="A24" s="179">
        <v>45944</v>
      </c>
      <c r="B24" s="7">
        <v>20</v>
      </c>
      <c r="C24" s="49">
        <v>0.21666666666666667</v>
      </c>
      <c r="D24" s="186">
        <f t="shared" si="6"/>
        <v>5.0270833333333327</v>
      </c>
      <c r="E24" s="188">
        <v>19.649999999999999</v>
      </c>
      <c r="F24" s="180">
        <v>14.9</v>
      </c>
      <c r="G24" s="181">
        <v>110</v>
      </c>
      <c r="H24" s="51">
        <f t="shared" si="1"/>
        <v>9.8766139999999982</v>
      </c>
      <c r="I24" s="189">
        <v>14.8</v>
      </c>
      <c r="J24" s="191">
        <v>1.4E-3</v>
      </c>
      <c r="K24" s="181">
        <v>110</v>
      </c>
      <c r="L24" s="52">
        <f t="shared" si="11"/>
        <v>6.9895466666666686E-4</v>
      </c>
      <c r="M24" s="214">
        <f t="shared" si="3"/>
        <v>9.8759150453333309</v>
      </c>
      <c r="N24" s="187">
        <f t="shared" si="7"/>
        <v>133.30939690233424</v>
      </c>
      <c r="O24" s="88">
        <f t="shared" si="4"/>
        <v>99.99</v>
      </c>
      <c r="P24" s="189">
        <v>0.43521857923496832</v>
      </c>
      <c r="Q24" s="180">
        <v>53.879999999999875</v>
      </c>
      <c r="R24" s="181">
        <v>61</v>
      </c>
      <c r="S24" s="56">
        <f t="shared" si="9"/>
        <v>0.44</v>
      </c>
      <c r="T24" s="185">
        <f t="shared" si="8"/>
        <v>12.226524757333333</v>
      </c>
      <c r="U24" s="14">
        <f t="shared" si="5"/>
        <v>4.46</v>
      </c>
      <c r="W24" s="123"/>
      <c r="X24" s="123"/>
    </row>
    <row r="25" spans="1:24" ht="16.5" customHeight="1">
      <c r="A25" s="179">
        <v>45945</v>
      </c>
      <c r="B25" s="7">
        <v>21</v>
      </c>
      <c r="C25" s="49">
        <v>0.17777777777777781</v>
      </c>
      <c r="D25" s="186">
        <f t="shared" si="6"/>
        <v>5.2048611111111107</v>
      </c>
      <c r="E25" s="188">
        <v>18.71</v>
      </c>
      <c r="F25" s="180">
        <v>14.9</v>
      </c>
      <c r="G25" s="181">
        <v>48</v>
      </c>
      <c r="H25" s="51">
        <f t="shared" si="1"/>
        <v>4.1036268800000002</v>
      </c>
      <c r="I25" s="189">
        <v>14.8</v>
      </c>
      <c r="J25" s="191">
        <v>0.01</v>
      </c>
      <c r="K25" s="181">
        <v>48</v>
      </c>
      <c r="L25" s="52">
        <f t="shared" si="11"/>
        <v>2.1785600000000004E-3</v>
      </c>
      <c r="M25" s="214">
        <f t="shared" si="3"/>
        <v>4.1014483200000003</v>
      </c>
      <c r="N25" s="187">
        <f t="shared" si="7"/>
        <v>137.41084522233425</v>
      </c>
      <c r="O25" s="88">
        <f t="shared" si="4"/>
        <v>99.95</v>
      </c>
      <c r="P25" s="189">
        <v>0.44204918032786356</v>
      </c>
      <c r="Q25" s="180">
        <v>53.879999999999875</v>
      </c>
      <c r="R25" s="181">
        <v>61</v>
      </c>
      <c r="S25" s="56">
        <f t="shared" si="9"/>
        <v>0.45</v>
      </c>
      <c r="T25" s="185">
        <f t="shared" si="8"/>
        <v>12.676524757333333</v>
      </c>
      <c r="U25" s="14">
        <f t="shared" si="5"/>
        <v>10.97</v>
      </c>
      <c r="W25" s="123"/>
      <c r="X25" s="123"/>
    </row>
    <row r="26" spans="1:24" ht="16.5" customHeight="1">
      <c r="A26" s="179">
        <v>45946</v>
      </c>
      <c r="B26" s="7">
        <v>22</v>
      </c>
      <c r="C26" s="49">
        <v>0.2048611111111111</v>
      </c>
      <c r="D26" s="186">
        <f t="shared" si="6"/>
        <v>5.4097222222222214</v>
      </c>
      <c r="E26" s="180">
        <v>18.299999999999951</v>
      </c>
      <c r="F26" s="180">
        <v>14.9</v>
      </c>
      <c r="G26" s="181">
        <v>40.166666666666664</v>
      </c>
      <c r="H26" s="51">
        <f t="shared" si="1"/>
        <v>3.3586884666666577</v>
      </c>
      <c r="I26" s="189">
        <v>11.938016528925619</v>
      </c>
      <c r="J26" s="191">
        <v>1.4825206611570219E-3</v>
      </c>
      <c r="K26" s="181">
        <v>40.166666666666664</v>
      </c>
      <c r="L26" s="52">
        <f t="shared" si="11"/>
        <v>2.1800441817840268E-4</v>
      </c>
      <c r="M26" s="214">
        <f t="shared" si="3"/>
        <v>3.3584704622484791</v>
      </c>
      <c r="N26" s="187">
        <f t="shared" si="7"/>
        <v>140.76931568458272</v>
      </c>
      <c r="O26" s="88">
        <f t="shared" si="4"/>
        <v>99.99</v>
      </c>
      <c r="P26" s="189">
        <v>0.5385519125683047</v>
      </c>
      <c r="Q26" s="180">
        <v>53.879999999999875</v>
      </c>
      <c r="R26" s="181">
        <v>61</v>
      </c>
      <c r="S26" s="56">
        <f t="shared" si="9"/>
        <v>0.54</v>
      </c>
      <c r="T26" s="185">
        <f t="shared" si="8"/>
        <v>13.216524757333332</v>
      </c>
      <c r="U26" s="14">
        <f t="shared" si="5"/>
        <v>16.079999999999998</v>
      </c>
      <c r="W26" s="123"/>
      <c r="X26" s="123"/>
    </row>
    <row r="27" spans="1:24" ht="16.5" customHeight="1">
      <c r="A27" s="179">
        <v>45947</v>
      </c>
      <c r="B27" s="7">
        <v>23</v>
      </c>
      <c r="C27" s="49">
        <v>0.21597222222222223</v>
      </c>
      <c r="D27" s="186">
        <f t="shared" si="6"/>
        <v>5.6256944444444432</v>
      </c>
      <c r="E27" s="188">
        <v>25.425342465753445</v>
      </c>
      <c r="F27" s="180">
        <v>14.9</v>
      </c>
      <c r="G27" s="181">
        <v>48.5</v>
      </c>
      <c r="H27" s="51">
        <f t="shared" si="1"/>
        <v>5.6345779447488633</v>
      </c>
      <c r="I27" s="182">
        <v>10.099999999999946</v>
      </c>
      <c r="J27" s="191">
        <v>1.9673287671232945E-3</v>
      </c>
      <c r="K27" s="181">
        <v>48.5</v>
      </c>
      <c r="L27" s="52">
        <f t="shared" si="11"/>
        <v>2.9553343894977118E-4</v>
      </c>
      <c r="M27" s="214">
        <f t="shared" si="3"/>
        <v>5.6342824113099139</v>
      </c>
      <c r="N27" s="187">
        <f t="shared" si="7"/>
        <v>146.40359809589265</v>
      </c>
      <c r="O27" s="88">
        <f t="shared" si="4"/>
        <v>99.99</v>
      </c>
      <c r="P27" s="189">
        <v>0.51671717171717357</v>
      </c>
      <c r="Q27" s="180">
        <v>53.87999999999996</v>
      </c>
      <c r="R27" s="181">
        <v>66</v>
      </c>
      <c r="S27" s="56">
        <f t="shared" si="9"/>
        <v>0.56000000000000005</v>
      </c>
      <c r="T27" s="185">
        <f t="shared" si="8"/>
        <v>13.776524757333332</v>
      </c>
      <c r="U27" s="14">
        <f t="shared" si="5"/>
        <v>9.94</v>
      </c>
      <c r="W27" s="123"/>
      <c r="X27" s="123"/>
    </row>
    <row r="28" spans="1:24" ht="16.5" customHeight="1">
      <c r="A28" s="179">
        <v>45950</v>
      </c>
      <c r="B28" s="7">
        <v>24</v>
      </c>
      <c r="C28" s="49">
        <v>0.2277777777777778</v>
      </c>
      <c r="D28" s="186">
        <f t="shared" si="6"/>
        <v>5.8534722222222211</v>
      </c>
      <c r="E28" s="188">
        <v>12.457407407407441</v>
      </c>
      <c r="F28" s="180">
        <v>14.9</v>
      </c>
      <c r="G28" s="181">
        <v>53.833333333333336</v>
      </c>
      <c r="H28" s="51">
        <f t="shared" si="1"/>
        <v>3.0643035255144118</v>
      </c>
      <c r="I28" s="182">
        <v>14.80000000000009</v>
      </c>
      <c r="J28" s="191">
        <v>6.3147222222222337E-3</v>
      </c>
      <c r="K28" s="181">
        <v>53.833333333333336</v>
      </c>
      <c r="L28" s="52">
        <f t="shared" si="11"/>
        <v>1.5428859034568023E-3</v>
      </c>
      <c r="M28" s="214">
        <f t="shared" si="3"/>
        <v>3.0627606396109548</v>
      </c>
      <c r="N28" s="187">
        <f t="shared" si="7"/>
        <v>149.4663587355036</v>
      </c>
      <c r="O28" s="88">
        <f t="shared" si="4"/>
        <v>99.95</v>
      </c>
      <c r="P28" s="189">
        <v>0.22681818181818364</v>
      </c>
      <c r="Q28" s="180">
        <v>53.87999999999996</v>
      </c>
      <c r="R28" s="181">
        <v>66</v>
      </c>
      <c r="S28" s="56">
        <f t="shared" si="9"/>
        <v>0.25</v>
      </c>
      <c r="T28" s="185">
        <f t="shared" si="8"/>
        <v>14.026524757333332</v>
      </c>
      <c r="U28" s="14">
        <f t="shared" si="5"/>
        <v>8.16</v>
      </c>
      <c r="W28" s="123"/>
      <c r="X28" s="123"/>
    </row>
    <row r="29" spans="1:24" ht="16.5" customHeight="1">
      <c r="A29" s="179">
        <v>45951</v>
      </c>
      <c r="B29" s="7">
        <v>25</v>
      </c>
      <c r="C29" s="49">
        <v>0.21250000000000002</v>
      </c>
      <c r="D29" s="186">
        <f t="shared" si="6"/>
        <v>6.0659722222222214</v>
      </c>
      <c r="E29" s="188">
        <v>18.289099526066352</v>
      </c>
      <c r="F29" s="180">
        <v>14.9</v>
      </c>
      <c r="G29" s="181">
        <v>35</v>
      </c>
      <c r="H29" s="51">
        <f t="shared" si="1"/>
        <v>2.9249147235387047</v>
      </c>
      <c r="I29" s="182">
        <v>14.900000000000057</v>
      </c>
      <c r="J29" s="191">
        <v>1.0243127962085311E-3</v>
      </c>
      <c r="K29" s="181">
        <v>35</v>
      </c>
      <c r="L29" s="52">
        <f t="shared" si="11"/>
        <v>1.6381493112164366E-4</v>
      </c>
      <c r="M29" s="214">
        <f t="shared" si="3"/>
        <v>2.9247509086075829</v>
      </c>
      <c r="N29" s="187">
        <f t="shared" si="7"/>
        <v>152.3911096441112</v>
      </c>
      <c r="O29" s="88">
        <f t="shared" si="4"/>
        <v>99.99</v>
      </c>
      <c r="P29" s="189">
        <v>0.20186567164179259</v>
      </c>
      <c r="Q29" s="180">
        <v>53.879999999999981</v>
      </c>
      <c r="R29" s="181">
        <v>67</v>
      </c>
      <c r="S29" s="56">
        <f t="shared" si="9"/>
        <v>0.22</v>
      </c>
      <c r="T29" s="185">
        <f t="shared" si="8"/>
        <v>14.246524757333333</v>
      </c>
      <c r="U29" s="14">
        <f t="shared" si="5"/>
        <v>7.52</v>
      </c>
      <c r="W29" s="123"/>
      <c r="X29" s="123"/>
    </row>
    <row r="30" spans="1:24" ht="16.5" customHeight="1">
      <c r="A30" s="179">
        <v>45954</v>
      </c>
      <c r="B30" s="7">
        <v>26</v>
      </c>
      <c r="C30" s="49">
        <v>0.23958333333333337</v>
      </c>
      <c r="D30" s="186">
        <f t="shared" si="6"/>
        <v>6.3055555555555545</v>
      </c>
      <c r="E30" s="188">
        <v>19.09</v>
      </c>
      <c r="F30" s="180">
        <v>14.9</v>
      </c>
      <c r="G30" s="181">
        <v>36.17</v>
      </c>
      <c r="H30" s="51">
        <f t="shared" si="1"/>
        <v>3.1550574974666676</v>
      </c>
      <c r="I30" s="182">
        <v>14.93</v>
      </c>
      <c r="J30" s="191">
        <v>1.354E-3</v>
      </c>
      <c r="K30" s="181">
        <v>36.17</v>
      </c>
      <c r="L30" s="52">
        <f t="shared" si="11"/>
        <v>2.2422991560266665E-4</v>
      </c>
      <c r="M30" s="214">
        <f t="shared" si="3"/>
        <v>3.1548332675510649</v>
      </c>
      <c r="N30" s="187">
        <f t="shared" si="7"/>
        <v>155.54594291166225</v>
      </c>
      <c r="O30" s="88">
        <f t="shared" si="4"/>
        <v>99.99</v>
      </c>
      <c r="P30" s="189">
        <v>0.2245081967213127</v>
      </c>
      <c r="Q30" s="180">
        <v>53.879999999999875</v>
      </c>
      <c r="R30" s="181">
        <v>61</v>
      </c>
      <c r="S30" s="56">
        <f t="shared" si="9"/>
        <v>0.23</v>
      </c>
      <c r="T30" s="185">
        <f t="shared" si="8"/>
        <v>14.476524757333333</v>
      </c>
      <c r="U30" s="14">
        <f t="shared" si="5"/>
        <v>7.29</v>
      </c>
      <c r="W30" s="123"/>
      <c r="X30" s="123"/>
    </row>
    <row r="31" spans="1:24" ht="16.5" customHeight="1">
      <c r="A31" s="179">
        <v>45957</v>
      </c>
      <c r="B31" s="7">
        <v>27</v>
      </c>
      <c r="C31" s="49">
        <v>0.19930555555555551</v>
      </c>
      <c r="D31" s="186">
        <f t="shared" si="6"/>
        <v>6.5048611111111097</v>
      </c>
      <c r="E31" s="188">
        <v>24.774999999999995</v>
      </c>
      <c r="F31" s="180">
        <v>14.9</v>
      </c>
      <c r="G31" s="181">
        <v>27.833333333333332</v>
      </c>
      <c r="H31" s="51">
        <f t="shared" si="1"/>
        <v>3.1508789944444437</v>
      </c>
      <c r="I31" s="182">
        <v>15.099999999999952</v>
      </c>
      <c r="J31" s="183">
        <v>7.9273809523809516E-4</v>
      </c>
      <c r="K31" s="181">
        <v>27.833333333333332</v>
      </c>
      <c r="L31" s="52">
        <f t="shared" si="11"/>
        <v>1.0217354679894144E-4</v>
      </c>
      <c r="M31" s="214">
        <f t="shared" si="3"/>
        <v>3.150776820897645</v>
      </c>
      <c r="N31" s="187">
        <f t="shared" si="7"/>
        <v>158.6967197325599</v>
      </c>
      <c r="O31" s="88">
        <f t="shared" si="4"/>
        <v>100</v>
      </c>
      <c r="P31" s="182">
        <v>0.20000000000000137</v>
      </c>
      <c r="Q31" s="180">
        <v>53.879999999999875</v>
      </c>
      <c r="R31" s="181">
        <v>61</v>
      </c>
      <c r="S31" s="56">
        <f t="shared" si="9"/>
        <v>0.2</v>
      </c>
      <c r="T31" s="185">
        <f t="shared" si="8"/>
        <v>14.676524757333333</v>
      </c>
      <c r="U31" s="14">
        <f t="shared" si="5"/>
        <v>6.35</v>
      </c>
      <c r="W31" s="123"/>
      <c r="X31" s="123"/>
    </row>
    <row r="32" spans="1:24" ht="16.5" customHeight="1">
      <c r="A32" s="179">
        <v>45958</v>
      </c>
      <c r="B32" s="7">
        <v>28</v>
      </c>
      <c r="C32" s="49">
        <v>0.22083333333333338</v>
      </c>
      <c r="D32" s="186">
        <f t="shared" si="6"/>
        <v>6.7256944444444429</v>
      </c>
      <c r="E32" s="180">
        <v>24.949999999999964</v>
      </c>
      <c r="F32" s="180">
        <v>14.9</v>
      </c>
      <c r="G32" s="181">
        <v>27.833333333333332</v>
      </c>
      <c r="H32" s="51">
        <f t="shared" si="1"/>
        <v>3.1731354555555509</v>
      </c>
      <c r="I32" s="182">
        <v>15.099999999999952</v>
      </c>
      <c r="J32" s="180">
        <v>1.1010714285714283E-3</v>
      </c>
      <c r="K32" s="181">
        <v>27.833333333333332</v>
      </c>
      <c r="L32" s="52">
        <f t="shared" si="11"/>
        <v>1.4191367087301537E-4</v>
      </c>
      <c r="M32" s="214">
        <f t="shared" si="3"/>
        <v>3.172993541884678</v>
      </c>
      <c r="N32" s="187">
        <f t="shared" si="7"/>
        <v>161.86971327444456</v>
      </c>
      <c r="O32" s="88">
        <f t="shared" si="4"/>
        <v>100</v>
      </c>
      <c r="P32" s="189">
        <v>0.25296875000000213</v>
      </c>
      <c r="Q32" s="180">
        <v>53.879999999999932</v>
      </c>
      <c r="R32" s="181">
        <v>64</v>
      </c>
      <c r="S32" s="56">
        <f t="shared" si="9"/>
        <v>0.27</v>
      </c>
      <c r="T32" s="185">
        <f t="shared" si="8"/>
        <v>14.946524757333332</v>
      </c>
      <c r="U32" s="14">
        <f t="shared" si="5"/>
        <v>8.51</v>
      </c>
      <c r="W32" s="123"/>
      <c r="X32" s="123"/>
    </row>
    <row r="33" spans="1:24" ht="16.5" customHeight="1">
      <c r="A33" s="179">
        <v>45959</v>
      </c>
      <c r="B33" s="7">
        <v>29</v>
      </c>
      <c r="C33" s="49">
        <v>0.25486111111111115</v>
      </c>
      <c r="D33" s="186">
        <f t="shared" si="6"/>
        <v>6.9805555555555543</v>
      </c>
      <c r="E33" s="180">
        <v>24.49</v>
      </c>
      <c r="F33" s="180">
        <v>14.9</v>
      </c>
      <c r="G33" s="181">
        <v>80.55</v>
      </c>
      <c r="H33" s="51">
        <f t="shared" si="1"/>
        <v>9.0137845020000018</v>
      </c>
      <c r="I33" s="182">
        <v>15.1</v>
      </c>
      <c r="J33" s="180">
        <v>6.0000000000000001E-3</v>
      </c>
      <c r="K33" s="181">
        <v>80.5</v>
      </c>
      <c r="L33" s="52">
        <f t="shared" si="11"/>
        <v>2.2366120000000002E-3</v>
      </c>
      <c r="M33" s="214">
        <f t="shared" si="3"/>
        <v>9.011547890000001</v>
      </c>
      <c r="N33" s="187">
        <f t="shared" si="7"/>
        <v>170.88126116444457</v>
      </c>
      <c r="O33" s="88">
        <f t="shared" si="4"/>
        <v>99.98</v>
      </c>
      <c r="P33" s="182">
        <v>0.20000000000000137</v>
      </c>
      <c r="Q33" s="180">
        <v>53.879999999999875</v>
      </c>
      <c r="R33" s="181">
        <v>61</v>
      </c>
      <c r="S33" s="216">
        <f t="shared" si="9"/>
        <v>0.2</v>
      </c>
      <c r="T33" s="185">
        <f t="shared" si="8"/>
        <v>15.146524757333331</v>
      </c>
      <c r="U33" s="14">
        <f t="shared" si="5"/>
        <v>2.2200000000000002</v>
      </c>
      <c r="W33" s="123"/>
      <c r="X33" s="123"/>
    </row>
    <row r="34" spans="1:24" ht="16.5" customHeight="1">
      <c r="A34" s="179">
        <v>45960</v>
      </c>
      <c r="B34" s="7">
        <v>30</v>
      </c>
      <c r="C34" s="49">
        <v>0.18958333333333338</v>
      </c>
      <c r="D34" s="186">
        <f t="shared" si="6"/>
        <v>7.1701388888888875</v>
      </c>
      <c r="E34" s="188">
        <v>26.544000000000032</v>
      </c>
      <c r="F34" s="180">
        <v>14.9</v>
      </c>
      <c r="G34" s="181">
        <v>24.833333333333332</v>
      </c>
      <c r="H34" s="51">
        <f t="shared" si="1"/>
        <v>3.0119948693333369</v>
      </c>
      <c r="I34" s="182">
        <v>15.099999999999957</v>
      </c>
      <c r="J34" s="191">
        <v>1.3751333333333331E-3</v>
      </c>
      <c r="K34" s="181">
        <v>24.833333333333332</v>
      </c>
      <c r="L34" s="52">
        <f t="shared" si="11"/>
        <v>1.5813330487407363E-4</v>
      </c>
      <c r="M34" s="214">
        <f t="shared" si="3"/>
        <v>3.0118367360284628</v>
      </c>
      <c r="N34" s="187">
        <f t="shared" si="7"/>
        <v>173.89309790047304</v>
      </c>
      <c r="O34" s="88">
        <f t="shared" si="4"/>
        <v>99.99</v>
      </c>
      <c r="P34" s="184">
        <v>0.20013661202185931</v>
      </c>
      <c r="Q34" s="180">
        <v>53.879999999999875</v>
      </c>
      <c r="R34" s="181">
        <v>61</v>
      </c>
      <c r="S34" s="192">
        <f t="shared" si="9"/>
        <v>0.2</v>
      </c>
      <c r="T34" s="185">
        <f t="shared" si="8"/>
        <v>15.346524757333331</v>
      </c>
      <c r="U34" s="14">
        <f t="shared" si="5"/>
        <v>6.64</v>
      </c>
      <c r="W34" s="123"/>
      <c r="X34" s="123"/>
    </row>
    <row r="35" spans="1:24" ht="16.5" customHeight="1">
      <c r="A35" s="22">
        <v>45965</v>
      </c>
      <c r="B35" s="7">
        <v>31</v>
      </c>
      <c r="C35" s="49">
        <v>0.2277777777777778</v>
      </c>
      <c r="D35" s="186">
        <f t="shared" si="6"/>
        <v>7.3979166666666654</v>
      </c>
      <c r="E35" s="16">
        <v>16.99811320754721</v>
      </c>
      <c r="F35" s="9">
        <v>14.900000000000006</v>
      </c>
      <c r="G35" s="16">
        <v>52.833333333333336</v>
      </c>
      <c r="H35" s="10">
        <f>ROUND(E35*F35*1.84*(G35/60)*0.01,2)</f>
        <v>4.0999999999999996</v>
      </c>
      <c r="I35" s="20">
        <v>14.332075471698195</v>
      </c>
      <c r="J35" s="19">
        <v>1.0817610062893101E-5</v>
      </c>
      <c r="K35" s="16">
        <v>52.833333333333336</v>
      </c>
      <c r="L35" s="87">
        <f t="shared" si="11"/>
        <v>2.5119731529607406E-6</v>
      </c>
      <c r="M35" s="220">
        <f t="shared" si="3"/>
        <v>4.0999974880268466</v>
      </c>
      <c r="N35" s="220">
        <f>M35</f>
        <v>4.0999974880268466</v>
      </c>
      <c r="O35" s="88">
        <f>ROUND(M35/H35*100,2)</f>
        <v>100</v>
      </c>
      <c r="P35" s="11">
        <v>0.20000000000000157</v>
      </c>
      <c r="Q35" s="9">
        <v>53.88</v>
      </c>
      <c r="R35" s="57">
        <v>70.833333333333329</v>
      </c>
      <c r="S35" s="56">
        <f t="shared" si="9"/>
        <v>0.23</v>
      </c>
      <c r="T35" s="56">
        <v>0.23</v>
      </c>
      <c r="U35" s="89">
        <f>IFERROR(ROUND(S35/M35 *100,2),0)</f>
        <v>5.61</v>
      </c>
      <c r="W35" s="123"/>
      <c r="X35" s="123"/>
    </row>
    <row r="36" spans="1:24" ht="16.5" customHeight="1">
      <c r="A36" s="22">
        <v>45967</v>
      </c>
      <c r="B36" s="7">
        <v>32</v>
      </c>
      <c r="C36" s="49">
        <v>0.22499999999999998</v>
      </c>
      <c r="D36" s="186">
        <f t="shared" si="6"/>
        <v>7.622916666666665</v>
      </c>
      <c r="E36" s="16">
        <v>16.026608695652172</v>
      </c>
      <c r="F36" s="90">
        <v>14.899999999999842</v>
      </c>
      <c r="G36" s="16">
        <v>95.666666666666671</v>
      </c>
      <c r="H36" s="10">
        <f t="shared" ref="H36:H88" si="12">ROUND(E36*F36*1.84*(G36/60)*0.01,2)</f>
        <v>7.01</v>
      </c>
      <c r="I36" s="20">
        <v>14.24904347826099</v>
      </c>
      <c r="J36" s="18">
        <v>2.0572173913043466E-4</v>
      </c>
      <c r="K36" s="16">
        <v>95.666666666666671</v>
      </c>
      <c r="L36" s="87">
        <f t="shared" si="11"/>
        <v>8.5998942990841282E-5</v>
      </c>
      <c r="M36" s="220">
        <f t="shared" si="3"/>
        <v>7.0099140010570089</v>
      </c>
      <c r="N36" s="220">
        <f t="shared" ref="N36:N72" si="13">N35+M36</f>
        <v>11.109911489083856</v>
      </c>
      <c r="O36" s="88">
        <f t="shared" ref="O36:O71" si="14">ROUND(M36/H36*100,2)</f>
        <v>100</v>
      </c>
      <c r="P36" s="11">
        <v>0.2000000000000007</v>
      </c>
      <c r="Q36" s="9">
        <v>53.88</v>
      </c>
      <c r="R36" s="57">
        <v>41.833333333333336</v>
      </c>
      <c r="S36" s="56">
        <f t="shared" si="9"/>
        <v>0.14000000000000001</v>
      </c>
      <c r="T36" s="56">
        <f t="shared" ref="T36:T72" si="15">T35+S36</f>
        <v>0.37</v>
      </c>
      <c r="U36" s="89">
        <f t="shared" ref="U36:U75" si="16">IFERROR(ROUND(S36/M36 *100,2),0)</f>
        <v>2</v>
      </c>
      <c r="W36" s="123"/>
      <c r="X36" s="123"/>
    </row>
    <row r="37" spans="1:24" ht="16.5" customHeight="1">
      <c r="A37" s="22">
        <v>45968</v>
      </c>
      <c r="B37" s="7">
        <v>33</v>
      </c>
      <c r="C37" s="49">
        <v>0.31250000000000006</v>
      </c>
      <c r="D37" s="186">
        <f t="shared" si="6"/>
        <v>7.935416666666665</v>
      </c>
      <c r="E37" s="9">
        <v>16.5</v>
      </c>
      <c r="F37" s="9">
        <v>14.899999999999874</v>
      </c>
      <c r="G37" s="16">
        <v>82.166666666666671</v>
      </c>
      <c r="H37" s="10">
        <f t="shared" si="12"/>
        <v>6.19</v>
      </c>
      <c r="I37" s="11">
        <v>15.100000000000128</v>
      </c>
      <c r="J37" s="9">
        <v>1.6753036437246955E-4</v>
      </c>
      <c r="K37" s="16">
        <v>82.166666666666671</v>
      </c>
      <c r="L37" s="87">
        <f t="shared" si="11"/>
        <v>6.3743032676563715E-5</v>
      </c>
      <c r="M37" s="220">
        <f t="shared" si="3"/>
        <v>6.1899362569673242</v>
      </c>
      <c r="N37" s="220">
        <f t="shared" si="13"/>
        <v>17.299847746051181</v>
      </c>
      <c r="O37" s="88">
        <f t="shared" si="14"/>
        <v>100</v>
      </c>
      <c r="P37" s="20">
        <v>0.21124183006536026</v>
      </c>
      <c r="Q37" s="9">
        <v>53.879999999999654</v>
      </c>
      <c r="R37" s="57">
        <v>50.833333333333336</v>
      </c>
      <c r="S37" s="56">
        <f t="shared" si="9"/>
        <v>0.18</v>
      </c>
      <c r="T37" s="56">
        <f t="shared" si="15"/>
        <v>0.55000000000000004</v>
      </c>
      <c r="U37" s="89">
        <f t="shared" si="16"/>
        <v>2.91</v>
      </c>
      <c r="W37" s="123"/>
      <c r="X37" s="123"/>
    </row>
    <row r="38" spans="1:24" ht="16.5" customHeight="1">
      <c r="A38" s="22">
        <v>45972</v>
      </c>
      <c r="B38" s="7">
        <v>34</v>
      </c>
      <c r="C38" s="49">
        <v>0.21666666666666667</v>
      </c>
      <c r="D38" s="186">
        <f t="shared" si="6"/>
        <v>8.1520833333333318</v>
      </c>
      <c r="E38" s="16">
        <v>16.671428571428542</v>
      </c>
      <c r="F38" s="9">
        <v>14.900000000000036</v>
      </c>
      <c r="G38" s="16">
        <v>48.833333333333336</v>
      </c>
      <c r="H38" s="10">
        <f t="shared" si="12"/>
        <v>3.72</v>
      </c>
      <c r="I38" s="20">
        <v>14.95748299319728</v>
      </c>
      <c r="J38" s="21">
        <v>4.1015306122448997E-3</v>
      </c>
      <c r="K38" s="16">
        <v>48.833333333333336</v>
      </c>
      <c r="L38" s="87">
        <f t="shared" si="11"/>
        <v>9.1872898386282005E-4</v>
      </c>
      <c r="M38" s="220">
        <f t="shared" si="3"/>
        <v>3.7190812710161372</v>
      </c>
      <c r="N38" s="220">
        <f t="shared" si="13"/>
        <v>21.018929017067318</v>
      </c>
      <c r="O38" s="88">
        <f t="shared" si="14"/>
        <v>99.98</v>
      </c>
      <c r="P38" s="20">
        <v>0.21124183006536026</v>
      </c>
      <c r="Q38" s="9">
        <v>53.879999999999654</v>
      </c>
      <c r="R38" s="57">
        <v>50.833333333333336</v>
      </c>
      <c r="S38" s="56">
        <f t="shared" si="9"/>
        <v>0.18</v>
      </c>
      <c r="T38" s="56">
        <f t="shared" si="15"/>
        <v>0.73</v>
      </c>
      <c r="U38" s="89">
        <f t="shared" si="16"/>
        <v>4.84</v>
      </c>
      <c r="W38" s="123"/>
      <c r="X38" s="123"/>
    </row>
    <row r="39" spans="1:24" ht="16.5" customHeight="1">
      <c r="A39" s="22">
        <v>45973</v>
      </c>
      <c r="B39" s="7">
        <v>35</v>
      </c>
      <c r="C39" s="49">
        <v>0.22013888888888888</v>
      </c>
      <c r="D39" s="186">
        <f t="shared" si="6"/>
        <v>8.37222222222222</v>
      </c>
      <c r="E39" s="16">
        <v>17.366929133858406</v>
      </c>
      <c r="F39" s="9">
        <v>14.899999999999944</v>
      </c>
      <c r="G39" s="16">
        <v>63.333333333333336</v>
      </c>
      <c r="H39" s="10">
        <f t="shared" si="12"/>
        <v>5.03</v>
      </c>
      <c r="I39" s="20">
        <v>14.738845144356956</v>
      </c>
      <c r="J39" s="21">
        <v>1.6456692913385832E-3</v>
      </c>
      <c r="K39" s="16">
        <v>63.333333333333336</v>
      </c>
      <c r="L39" s="87">
        <f t="shared" si="11"/>
        <v>4.7109114385636208E-4</v>
      </c>
      <c r="M39" s="220">
        <f t="shared" si="3"/>
        <v>5.0295289088561441</v>
      </c>
      <c r="N39" s="220">
        <f t="shared" si="13"/>
        <v>26.048457925923461</v>
      </c>
      <c r="O39" s="88">
        <f t="shared" si="14"/>
        <v>99.99</v>
      </c>
      <c r="P39" s="11">
        <v>0.20000000000000034</v>
      </c>
      <c r="Q39" s="9">
        <v>53.88</v>
      </c>
      <c r="R39" s="57">
        <v>35.833333333333336</v>
      </c>
      <c r="S39" s="56">
        <f t="shared" si="9"/>
        <v>0.12</v>
      </c>
      <c r="T39" s="56">
        <f t="shared" si="15"/>
        <v>0.85</v>
      </c>
      <c r="U39" s="89">
        <f t="shared" si="16"/>
        <v>2.39</v>
      </c>
      <c r="W39" s="123"/>
      <c r="X39" s="123"/>
    </row>
    <row r="40" spans="1:24" ht="16.5" customHeight="1">
      <c r="A40" s="22">
        <v>45974</v>
      </c>
      <c r="B40" s="7">
        <v>36</v>
      </c>
      <c r="C40" s="49">
        <v>0.26944444444444443</v>
      </c>
      <c r="D40" s="186">
        <f t="shared" si="6"/>
        <v>8.6416666666666639</v>
      </c>
      <c r="E40" s="16">
        <v>16.567241379310584</v>
      </c>
      <c r="F40" s="9">
        <v>14.899999999999807</v>
      </c>
      <c r="G40" s="90">
        <v>115.83333333333333</v>
      </c>
      <c r="H40" s="10">
        <f t="shared" si="12"/>
        <v>8.77</v>
      </c>
      <c r="I40" s="20">
        <v>14.404454022988507</v>
      </c>
      <c r="J40" s="19">
        <v>9.9999999999998348E-6</v>
      </c>
      <c r="K40" s="90">
        <v>115.83333333333333</v>
      </c>
      <c r="L40" s="87">
        <f t="shared" si="11"/>
        <v>5.1167821679437218E-6</v>
      </c>
      <c r="M40" s="220">
        <f t="shared" si="3"/>
        <v>8.7699948832178318</v>
      </c>
      <c r="N40" s="220">
        <f t="shared" si="13"/>
        <v>34.818452809141291</v>
      </c>
      <c r="O40" s="88">
        <f t="shared" si="14"/>
        <v>100</v>
      </c>
      <c r="P40" s="20">
        <v>0.29225925925926022</v>
      </c>
      <c r="Q40" s="9">
        <v>53.88</v>
      </c>
      <c r="R40" s="57">
        <v>44.833333333333336</v>
      </c>
      <c r="S40" s="56">
        <f t="shared" si="9"/>
        <v>0.22</v>
      </c>
      <c r="T40" s="56">
        <f t="shared" si="15"/>
        <v>1.07</v>
      </c>
      <c r="U40" s="89">
        <f t="shared" si="16"/>
        <v>2.5099999999999998</v>
      </c>
      <c r="W40" s="123"/>
      <c r="X40" s="123"/>
    </row>
    <row r="41" spans="1:24" ht="16.5" customHeight="1">
      <c r="A41" s="22">
        <v>45975</v>
      </c>
      <c r="B41" s="7">
        <v>37</v>
      </c>
      <c r="C41" s="49">
        <v>0.28819444444444442</v>
      </c>
      <c r="D41" s="186">
        <f t="shared" si="6"/>
        <v>8.9298611111111086</v>
      </c>
      <c r="E41" s="16">
        <v>17.59237288135586</v>
      </c>
      <c r="F41" s="9">
        <v>14.899999999999803</v>
      </c>
      <c r="G41" s="16">
        <v>117.83333333333333</v>
      </c>
      <c r="H41" s="10">
        <f t="shared" si="12"/>
        <v>9.4700000000000006</v>
      </c>
      <c r="I41" s="20">
        <v>12.101694915254237</v>
      </c>
      <c r="J41" s="19">
        <v>9.9999999999998297E-6</v>
      </c>
      <c r="K41" s="16">
        <v>117.83333333333333</v>
      </c>
      <c r="L41" s="87">
        <f t="shared" si="11"/>
        <v>4.3730146892654624E-6</v>
      </c>
      <c r="M41" s="220">
        <f t="shared" si="3"/>
        <v>9.4699956269853107</v>
      </c>
      <c r="N41" s="220">
        <f t="shared" si="13"/>
        <v>44.2884484361266</v>
      </c>
      <c r="O41" s="88">
        <f t="shared" si="14"/>
        <v>100</v>
      </c>
      <c r="P41" s="11">
        <v>0.36</v>
      </c>
      <c r="Q41" s="9">
        <v>53.88</v>
      </c>
      <c r="R41" s="96">
        <v>60.83</v>
      </c>
      <c r="S41" s="56">
        <f t="shared" si="9"/>
        <v>0.36</v>
      </c>
      <c r="T41" s="56">
        <f t="shared" si="15"/>
        <v>1.4300000000000002</v>
      </c>
      <c r="U41" s="89">
        <f t="shared" si="16"/>
        <v>3.8</v>
      </c>
      <c r="W41" s="123"/>
      <c r="X41" s="123"/>
    </row>
    <row r="42" spans="1:24" ht="16.5" customHeight="1">
      <c r="A42" s="22">
        <v>45978</v>
      </c>
      <c r="B42" s="7">
        <v>38</v>
      </c>
      <c r="C42" s="49">
        <v>0.27013888888888887</v>
      </c>
      <c r="D42" s="186">
        <f t="shared" si="6"/>
        <v>9.1999999999999975</v>
      </c>
      <c r="E42" s="16">
        <v>14.410869565217171</v>
      </c>
      <c r="F42" s="9">
        <v>14.899999999999778</v>
      </c>
      <c r="G42" s="16">
        <v>137.83333333333334</v>
      </c>
      <c r="H42" s="10">
        <f t="shared" si="12"/>
        <v>9.08</v>
      </c>
      <c r="I42" s="20">
        <v>13.35</v>
      </c>
      <c r="J42" s="19">
        <v>9.9999999999998297E-6</v>
      </c>
      <c r="K42" s="16">
        <v>137.83333333333334</v>
      </c>
      <c r="L42" s="87">
        <f t="shared" si="11"/>
        <v>5.6428966666665719E-6</v>
      </c>
      <c r="M42" s="220">
        <f t="shared" si="3"/>
        <v>9.0799943571033328</v>
      </c>
      <c r="N42" s="220">
        <f t="shared" si="13"/>
        <v>53.368442793229931</v>
      </c>
      <c r="O42" s="88">
        <f t="shared" si="14"/>
        <v>100</v>
      </c>
      <c r="P42" s="20">
        <v>0.45580882352941049</v>
      </c>
      <c r="Q42" s="9">
        <v>53.88</v>
      </c>
      <c r="R42" s="57">
        <v>67.833333333333329</v>
      </c>
      <c r="S42" s="56">
        <f t="shared" si="9"/>
        <v>0.51</v>
      </c>
      <c r="T42" s="56">
        <f t="shared" si="15"/>
        <v>1.9400000000000002</v>
      </c>
      <c r="U42" s="89">
        <f t="shared" si="16"/>
        <v>5.62</v>
      </c>
      <c r="W42" s="123"/>
      <c r="X42" s="123"/>
    </row>
    <row r="43" spans="1:24" ht="16.5" customHeight="1">
      <c r="A43" s="22">
        <v>45979</v>
      </c>
      <c r="B43" s="7">
        <v>39</v>
      </c>
      <c r="C43" s="49">
        <v>0.2638888888888889</v>
      </c>
      <c r="D43" s="186">
        <f t="shared" si="6"/>
        <v>9.4638888888888868</v>
      </c>
      <c r="E43" s="16">
        <v>17.872727272727342</v>
      </c>
      <c r="F43" s="9">
        <v>14.8999999999998</v>
      </c>
      <c r="G43" s="16">
        <v>120.83333333333333</v>
      </c>
      <c r="H43" s="10">
        <f t="shared" si="12"/>
        <v>9.8699999999999992</v>
      </c>
      <c r="I43" s="20">
        <v>12.045454545454545</v>
      </c>
      <c r="J43" s="19">
        <v>9.9999999999998246E-6</v>
      </c>
      <c r="K43" s="16">
        <v>120.83333333333333</v>
      </c>
      <c r="L43" s="87">
        <f t="shared" si="11"/>
        <v>4.4635101010100228E-6</v>
      </c>
      <c r="M43" s="220">
        <f t="shared" si="3"/>
        <v>9.869995536489899</v>
      </c>
      <c r="N43" s="220">
        <f t="shared" si="13"/>
        <v>63.238438329719827</v>
      </c>
      <c r="O43" s="88">
        <f t="shared" si="14"/>
        <v>100</v>
      </c>
      <c r="P43" s="20">
        <v>0.36</v>
      </c>
      <c r="Q43" s="16">
        <v>0</v>
      </c>
      <c r="R43" s="96">
        <v>60.83</v>
      </c>
      <c r="S43" s="56">
        <f t="shared" si="9"/>
        <v>0</v>
      </c>
      <c r="T43" s="56">
        <f t="shared" si="15"/>
        <v>1.9400000000000002</v>
      </c>
      <c r="U43" s="89">
        <f t="shared" si="16"/>
        <v>0</v>
      </c>
      <c r="W43" s="123"/>
      <c r="X43" s="123"/>
    </row>
    <row r="44" spans="1:24" ht="16.5" customHeight="1">
      <c r="A44" s="22">
        <v>45980</v>
      </c>
      <c r="B44" s="7">
        <v>40</v>
      </c>
      <c r="C44" s="49">
        <v>0.23472222222222222</v>
      </c>
      <c r="D44" s="186">
        <f t="shared" si="6"/>
        <v>9.6986111111111093</v>
      </c>
      <c r="E44" s="16">
        <v>18.916483516483702</v>
      </c>
      <c r="F44" s="16">
        <v>10.977912087912072</v>
      </c>
      <c r="G44" s="16">
        <v>90.833333333333329</v>
      </c>
      <c r="H44" s="10">
        <f t="shared" si="12"/>
        <v>5.78</v>
      </c>
      <c r="I44" s="20">
        <v>5</v>
      </c>
      <c r="J44" s="19">
        <v>9.9633699633698652E-6</v>
      </c>
      <c r="K44" s="16">
        <v>90.833333333333329</v>
      </c>
      <c r="L44" s="87">
        <f t="shared" si="11"/>
        <v>1.3876760276760139E-6</v>
      </c>
      <c r="M44" s="220">
        <f t="shared" si="3"/>
        <v>5.7799986123239728</v>
      </c>
      <c r="N44" s="220">
        <f t="shared" si="13"/>
        <v>69.018436942043806</v>
      </c>
      <c r="O44" s="88">
        <f t="shared" si="14"/>
        <v>100</v>
      </c>
      <c r="P44" s="20">
        <v>0.29942622950819764</v>
      </c>
      <c r="Q44" s="9">
        <v>66.83</v>
      </c>
      <c r="R44" s="57">
        <v>60.833333333333336</v>
      </c>
      <c r="S44" s="56">
        <f t="shared" si="9"/>
        <v>0.37</v>
      </c>
      <c r="T44" s="56">
        <f t="shared" si="15"/>
        <v>2.31</v>
      </c>
      <c r="U44" s="89">
        <f t="shared" si="16"/>
        <v>6.4</v>
      </c>
      <c r="W44" s="123"/>
      <c r="X44" s="123"/>
    </row>
    <row r="45" spans="1:24" ht="16.5" customHeight="1">
      <c r="A45" s="22">
        <v>45981</v>
      </c>
      <c r="B45" s="7">
        <v>41</v>
      </c>
      <c r="C45" s="49">
        <v>0.25277777777777777</v>
      </c>
      <c r="D45" s="186">
        <f t="shared" si="6"/>
        <v>9.9513888888888875</v>
      </c>
      <c r="E45" s="16">
        <v>11.230999999999913</v>
      </c>
      <c r="F45" s="16">
        <v>2.6081000000000087</v>
      </c>
      <c r="G45" s="16">
        <v>99.833333333333329</v>
      </c>
      <c r="H45" s="10">
        <f t="shared" si="12"/>
        <v>0.9</v>
      </c>
      <c r="I45" s="20">
        <v>4.1749999999999998</v>
      </c>
      <c r="J45" s="19">
        <v>9.9999999999998738E-6</v>
      </c>
      <c r="K45" s="16">
        <v>99.833333333333329</v>
      </c>
      <c r="L45" s="87">
        <f t="shared" si="11"/>
        <v>1.278199444444428E-6</v>
      </c>
      <c r="M45" s="220">
        <f t="shared" si="3"/>
        <v>0.89999872180055562</v>
      </c>
      <c r="N45" s="220">
        <f t="shared" si="13"/>
        <v>69.918435663844363</v>
      </c>
      <c r="O45" s="88">
        <f t="shared" si="14"/>
        <v>100</v>
      </c>
      <c r="P45" s="20">
        <v>0.30814516129032349</v>
      </c>
      <c r="Q45" s="9">
        <v>71.33</v>
      </c>
      <c r="R45" s="57">
        <v>61.833333333333336</v>
      </c>
      <c r="S45" s="56">
        <f t="shared" si="9"/>
        <v>0.42</v>
      </c>
      <c r="T45" s="56">
        <f t="shared" si="15"/>
        <v>2.73</v>
      </c>
      <c r="U45" s="89">
        <f t="shared" si="16"/>
        <v>46.67</v>
      </c>
      <c r="W45" s="123"/>
      <c r="X45" s="123"/>
    </row>
    <row r="46" spans="1:24" ht="16.5" customHeight="1">
      <c r="A46" s="22">
        <v>45982</v>
      </c>
      <c r="B46" s="7">
        <v>42</v>
      </c>
      <c r="C46" s="49">
        <v>0.25555555555555554</v>
      </c>
      <c r="D46" s="186">
        <f t="shared" si="6"/>
        <v>10.206944444444442</v>
      </c>
      <c r="E46" s="16">
        <v>19.052678571428551</v>
      </c>
      <c r="F46" s="16">
        <v>12.873928571428475</v>
      </c>
      <c r="G46" s="16">
        <v>111.83333333333333</v>
      </c>
      <c r="H46" s="10">
        <f t="shared" si="12"/>
        <v>8.41</v>
      </c>
      <c r="I46" s="20">
        <v>10.613839285714286</v>
      </c>
      <c r="J46" s="19">
        <v>0.14285714285714285</v>
      </c>
      <c r="K46" s="16">
        <v>111.83333333333333</v>
      </c>
      <c r="L46" s="87">
        <f t="shared" si="11"/>
        <v>5.2001073554421774E-2</v>
      </c>
      <c r="M46" s="220">
        <f t="shared" si="3"/>
        <v>8.3579989264455783</v>
      </c>
      <c r="N46" s="220">
        <f t="shared" si="13"/>
        <v>78.276434590289938</v>
      </c>
      <c r="O46" s="88">
        <f t="shared" si="14"/>
        <v>99.38</v>
      </c>
      <c r="P46" s="20">
        <v>0.33141975308641963</v>
      </c>
      <c r="Q46" s="9">
        <v>53.88</v>
      </c>
      <c r="R46" s="57">
        <v>53.833333333333336</v>
      </c>
      <c r="S46" s="56">
        <f t="shared" si="9"/>
        <v>0.28999999999999998</v>
      </c>
      <c r="T46" s="56">
        <f t="shared" si="15"/>
        <v>3.02</v>
      </c>
      <c r="U46" s="89">
        <f t="shared" si="16"/>
        <v>3.47</v>
      </c>
      <c r="W46" s="123"/>
      <c r="X46" s="123"/>
    </row>
    <row r="47" spans="1:24" ht="16.5" customHeight="1">
      <c r="A47" s="22">
        <v>45985</v>
      </c>
      <c r="B47" s="7">
        <v>43</v>
      </c>
      <c r="C47" s="49">
        <v>0.23124999999999996</v>
      </c>
      <c r="D47" s="186">
        <f t="shared" si="6"/>
        <v>10.438194444444441</v>
      </c>
      <c r="E47" s="16">
        <v>23.718867924528382</v>
      </c>
      <c r="F47" s="16">
        <v>5.5124528301886784</v>
      </c>
      <c r="G47" s="16">
        <v>52.833333333333336</v>
      </c>
      <c r="H47" s="10">
        <f t="shared" si="12"/>
        <v>2.12</v>
      </c>
      <c r="I47" s="20">
        <v>12.641509433962296</v>
      </c>
      <c r="J47" s="90">
        <v>0.11433962264150972</v>
      </c>
      <c r="K47" s="16">
        <v>52.833333333333336</v>
      </c>
      <c r="L47" s="87">
        <f t="shared" si="11"/>
        <v>2.3419103832918124E-2</v>
      </c>
      <c r="M47" s="220">
        <f t="shared" si="3"/>
        <v>2.0965808961670818</v>
      </c>
      <c r="N47" s="220">
        <f t="shared" si="13"/>
        <v>80.373015486457021</v>
      </c>
      <c r="O47" s="88">
        <f t="shared" si="14"/>
        <v>98.9</v>
      </c>
      <c r="P47" s="20">
        <v>0.67400000000000004</v>
      </c>
      <c r="Q47" s="16">
        <v>40.69</v>
      </c>
      <c r="R47" s="96">
        <v>10</v>
      </c>
      <c r="S47" s="56">
        <f t="shared" si="9"/>
        <v>0.08</v>
      </c>
      <c r="T47" s="56">
        <f t="shared" si="15"/>
        <v>3.1</v>
      </c>
      <c r="U47" s="89">
        <f t="shared" si="16"/>
        <v>3.82</v>
      </c>
      <c r="W47" s="123"/>
      <c r="X47" s="123"/>
    </row>
    <row r="48" spans="1:24" ht="16.5" customHeight="1">
      <c r="A48" s="22">
        <v>45986</v>
      </c>
      <c r="B48" s="7">
        <v>44</v>
      </c>
      <c r="C48" s="49">
        <v>0.20763888888888887</v>
      </c>
      <c r="D48" s="186">
        <f t="shared" si="6"/>
        <v>10.64583333333333</v>
      </c>
      <c r="E48" s="16">
        <v>17.451063829787191</v>
      </c>
      <c r="F48" s="16">
        <v>1.1093617021276665</v>
      </c>
      <c r="G48" s="16">
        <v>46.833333333333336</v>
      </c>
      <c r="H48" s="10">
        <f t="shared" si="12"/>
        <v>0.28000000000000003</v>
      </c>
      <c r="I48" s="20">
        <v>14.374468085106368</v>
      </c>
      <c r="J48" s="90">
        <v>0.11322695035461008</v>
      </c>
      <c r="K48" s="16">
        <v>46.833333333333336</v>
      </c>
      <c r="L48" s="87">
        <f t="shared" si="11"/>
        <v>2.3375625203963597E-2</v>
      </c>
      <c r="M48" s="220">
        <f t="shared" si="3"/>
        <v>0.25662437479603645</v>
      </c>
      <c r="N48" s="220">
        <f t="shared" si="13"/>
        <v>80.629639861253054</v>
      </c>
      <c r="O48" s="88">
        <f t="shared" si="14"/>
        <v>91.65</v>
      </c>
      <c r="P48" s="20">
        <v>0.63807692307692299</v>
      </c>
      <c r="Q48" s="16">
        <v>55.88</v>
      </c>
      <c r="R48" s="96">
        <v>13</v>
      </c>
      <c r="S48" s="56">
        <f t="shared" si="9"/>
        <v>0.14000000000000001</v>
      </c>
      <c r="T48" s="56">
        <f t="shared" si="15"/>
        <v>3.24</v>
      </c>
      <c r="U48" s="89">
        <f t="shared" si="16"/>
        <v>54.55</v>
      </c>
      <c r="W48" s="123"/>
      <c r="X48" s="123"/>
    </row>
    <row r="49" spans="1:24" ht="16.5" customHeight="1">
      <c r="A49" s="22">
        <v>45987</v>
      </c>
      <c r="B49" s="7">
        <v>45</v>
      </c>
      <c r="C49" s="49">
        <v>0.21736111111111106</v>
      </c>
      <c r="D49" s="186">
        <f t="shared" si="6"/>
        <v>10.863194444444442</v>
      </c>
      <c r="E49" s="16">
        <v>19.310638297872384</v>
      </c>
      <c r="F49" s="16">
        <v>5.0225531914893482</v>
      </c>
      <c r="G49" s="16">
        <v>47</v>
      </c>
      <c r="H49" s="10">
        <f t="shared" si="12"/>
        <v>1.4</v>
      </c>
      <c r="I49" s="20">
        <v>11.963829787234099</v>
      </c>
      <c r="J49" s="90">
        <v>0.4549999999999999</v>
      </c>
      <c r="K49" s="16">
        <v>47</v>
      </c>
      <c r="L49" s="87">
        <f t="shared" si="11"/>
        <v>7.8459593333333688E-2</v>
      </c>
      <c r="M49" s="220">
        <f t="shared" si="3"/>
        <v>1.3215404066666663</v>
      </c>
      <c r="N49" s="220">
        <f t="shared" si="13"/>
        <v>81.951180267919725</v>
      </c>
      <c r="O49" s="88">
        <f t="shared" si="14"/>
        <v>94.4</v>
      </c>
      <c r="P49" s="11">
        <v>3.56</v>
      </c>
      <c r="Q49" s="9">
        <v>91.091000000000008</v>
      </c>
      <c r="R49" s="96">
        <v>10</v>
      </c>
      <c r="S49" s="56">
        <f t="shared" si="9"/>
        <v>0.99</v>
      </c>
      <c r="T49" s="56">
        <f t="shared" si="15"/>
        <v>4.2300000000000004</v>
      </c>
      <c r="U49" s="89">
        <f t="shared" si="16"/>
        <v>74.91</v>
      </c>
      <c r="W49" s="123"/>
      <c r="X49" s="123"/>
    </row>
    <row r="50" spans="1:24" ht="16.5" customHeight="1">
      <c r="A50" s="22">
        <v>45989</v>
      </c>
      <c r="B50" s="7">
        <v>46</v>
      </c>
      <c r="C50" s="49">
        <v>0.20555555555555555</v>
      </c>
      <c r="D50" s="186">
        <f t="shared" si="6"/>
        <v>11.068749999999998</v>
      </c>
      <c r="E50" s="16">
        <v>22.513636363636341</v>
      </c>
      <c r="F50" s="16">
        <v>6.5029924242424659</v>
      </c>
      <c r="G50" s="16">
        <v>44</v>
      </c>
      <c r="H50" s="10">
        <f t="shared" si="12"/>
        <v>1.98</v>
      </c>
      <c r="I50" s="20">
        <v>14.773484848484889</v>
      </c>
      <c r="J50" s="90">
        <v>0.10409090909090922</v>
      </c>
      <c r="K50" s="16">
        <v>44</v>
      </c>
      <c r="L50" s="87">
        <f t="shared" si="11"/>
        <v>2.0749851919192003E-2</v>
      </c>
      <c r="M50" s="220">
        <f t="shared" si="3"/>
        <v>1.959250148080808</v>
      </c>
      <c r="N50" s="220">
        <f t="shared" si="13"/>
        <v>83.910430416000537</v>
      </c>
      <c r="O50" s="88">
        <f t="shared" si="14"/>
        <v>98.95</v>
      </c>
      <c r="P50" s="11">
        <v>3.6800000000000006</v>
      </c>
      <c r="Q50" s="90">
        <v>89.460999999999999</v>
      </c>
      <c r="R50" s="96">
        <v>10</v>
      </c>
      <c r="S50" s="56">
        <f t="shared" si="9"/>
        <v>1.01</v>
      </c>
      <c r="T50" s="56">
        <f t="shared" si="15"/>
        <v>5.24</v>
      </c>
      <c r="U50" s="89">
        <f t="shared" si="16"/>
        <v>51.55</v>
      </c>
      <c r="W50" s="123"/>
      <c r="X50" s="123"/>
    </row>
    <row r="51" spans="1:24" ht="16.5" customHeight="1">
      <c r="A51" s="22">
        <v>45994</v>
      </c>
      <c r="B51" s="7">
        <v>47</v>
      </c>
      <c r="C51" s="49">
        <v>0.21111111111111114</v>
      </c>
      <c r="D51" s="186">
        <f t="shared" si="6"/>
        <v>11.279861111111108</v>
      </c>
      <c r="E51" s="16">
        <v>22.390697674418721</v>
      </c>
      <c r="F51" s="16">
        <v>12.370697674418622</v>
      </c>
      <c r="G51" s="20">
        <v>43</v>
      </c>
      <c r="H51" s="10">
        <f t="shared" si="12"/>
        <v>3.65</v>
      </c>
      <c r="I51" s="20">
        <v>11.906976744186036</v>
      </c>
      <c r="J51" s="90">
        <v>7.0697674418604653E-2</v>
      </c>
      <c r="K51" s="16">
        <v>43</v>
      </c>
      <c r="L51" s="87">
        <f t="shared" si="11"/>
        <v>1.1100477519379835E-2</v>
      </c>
      <c r="M51" s="220">
        <f t="shared" si="3"/>
        <v>3.63889952248062</v>
      </c>
      <c r="N51" s="220">
        <f t="shared" si="13"/>
        <v>87.549329938481151</v>
      </c>
      <c r="O51" s="88">
        <f t="shared" si="14"/>
        <v>99.7</v>
      </c>
      <c r="P51" s="20">
        <v>3.8444444444444446</v>
      </c>
      <c r="Q51" s="90">
        <v>64.495555555555555</v>
      </c>
      <c r="R51" s="96">
        <v>9</v>
      </c>
      <c r="S51" s="56">
        <f t="shared" si="9"/>
        <v>0.68</v>
      </c>
      <c r="T51" s="56">
        <f t="shared" si="15"/>
        <v>5.92</v>
      </c>
      <c r="U51" s="89">
        <f t="shared" si="16"/>
        <v>18.690000000000001</v>
      </c>
      <c r="W51" s="123"/>
      <c r="X51" s="123"/>
    </row>
    <row r="52" spans="1:24" ht="16.5" customHeight="1">
      <c r="A52" s="22">
        <v>45995</v>
      </c>
      <c r="B52" s="7">
        <v>48</v>
      </c>
      <c r="C52" s="49">
        <v>0.22500000000000003</v>
      </c>
      <c r="D52" s="186">
        <f t="shared" si="6"/>
        <v>11.504861111111108</v>
      </c>
      <c r="E52" s="16">
        <v>26.196875000000208</v>
      </c>
      <c r="F52" s="16">
        <v>11.61625000000002</v>
      </c>
      <c r="G52" s="16">
        <v>64</v>
      </c>
      <c r="H52" s="10">
        <f t="shared" si="12"/>
        <v>5.97</v>
      </c>
      <c r="I52" s="20">
        <v>9.90625</v>
      </c>
      <c r="J52" s="90">
        <v>6.0156249999999967E-2</v>
      </c>
      <c r="K52" s="16">
        <v>64</v>
      </c>
      <c r="L52" s="87">
        <f t="shared" si="11"/>
        <v>1.1695979166666662E-2</v>
      </c>
      <c r="M52" s="220">
        <f t="shared" si="3"/>
        <v>5.9583040208333333</v>
      </c>
      <c r="N52" s="220">
        <f t="shared" si="13"/>
        <v>93.507633959314489</v>
      </c>
      <c r="O52" s="88">
        <f t="shared" si="14"/>
        <v>99.8</v>
      </c>
      <c r="P52" s="20">
        <v>3.0583333333333336</v>
      </c>
      <c r="Q52" s="90">
        <v>63.958333333333336</v>
      </c>
      <c r="R52" s="96">
        <v>12</v>
      </c>
      <c r="S52" s="56">
        <f t="shared" si="9"/>
        <v>0.72</v>
      </c>
      <c r="T52" s="56">
        <f t="shared" si="15"/>
        <v>6.64</v>
      </c>
      <c r="U52" s="89">
        <f t="shared" si="16"/>
        <v>12.08</v>
      </c>
      <c r="W52" s="123"/>
      <c r="X52" s="123"/>
    </row>
    <row r="53" spans="1:24" ht="16.5" customHeight="1">
      <c r="A53" s="22">
        <v>45999</v>
      </c>
      <c r="B53" s="7">
        <v>49</v>
      </c>
      <c r="C53" s="49">
        <v>0.21180555555555558</v>
      </c>
      <c r="D53" s="186">
        <f t="shared" si="6"/>
        <v>11.716666666666663</v>
      </c>
      <c r="E53" s="16">
        <v>28.186363636363719</v>
      </c>
      <c r="F53" s="16">
        <v>11.990454545454499</v>
      </c>
      <c r="G53" s="16">
        <v>44</v>
      </c>
      <c r="H53" s="10">
        <f t="shared" si="12"/>
        <v>4.5599999999999996</v>
      </c>
      <c r="I53" s="20">
        <v>12.863636363636363</v>
      </c>
      <c r="J53" s="90">
        <v>8.1136363636363604E-2</v>
      </c>
      <c r="K53" s="16">
        <v>44</v>
      </c>
      <c r="L53" s="87">
        <f t="shared" si="11"/>
        <v>1.4083109090909082E-2</v>
      </c>
      <c r="M53" s="220">
        <f t="shared" si="3"/>
        <v>4.5459168909090906</v>
      </c>
      <c r="N53" s="220">
        <f t="shared" si="13"/>
        <v>98.053550850223587</v>
      </c>
      <c r="O53" s="88">
        <f t="shared" si="14"/>
        <v>99.69</v>
      </c>
      <c r="P53" s="11">
        <v>2.16</v>
      </c>
      <c r="Q53" s="9">
        <v>92.3</v>
      </c>
      <c r="R53" s="96">
        <v>12</v>
      </c>
      <c r="S53" s="56">
        <f t="shared" si="9"/>
        <v>0.73</v>
      </c>
      <c r="T53" s="56">
        <f t="shared" si="15"/>
        <v>7.3699999999999992</v>
      </c>
      <c r="U53" s="89">
        <f t="shared" si="16"/>
        <v>16.059999999999999</v>
      </c>
      <c r="W53" s="123"/>
      <c r="X53" s="123"/>
    </row>
    <row r="54" spans="1:24" ht="16.5" customHeight="1">
      <c r="A54" s="22">
        <v>46000</v>
      </c>
      <c r="B54" s="7">
        <v>50</v>
      </c>
      <c r="C54" s="49">
        <v>0.21249999999999997</v>
      </c>
      <c r="D54" s="186">
        <f t="shared" si="6"/>
        <v>11.929166666666664</v>
      </c>
      <c r="E54" s="16">
        <v>28.363829787233971</v>
      </c>
      <c r="F54" s="16">
        <v>12.268936170212752</v>
      </c>
      <c r="G54" s="16">
        <v>47</v>
      </c>
      <c r="H54" s="10">
        <f t="shared" si="12"/>
        <v>5.0199999999999996</v>
      </c>
      <c r="I54" s="20">
        <v>13.212765957446809</v>
      </c>
      <c r="J54" s="90">
        <v>6.3404255319148936E-2</v>
      </c>
      <c r="K54" s="16">
        <v>47</v>
      </c>
      <c r="L54" s="87">
        <f t="shared" si="11"/>
        <v>1.2074706382978724E-2</v>
      </c>
      <c r="M54" s="220">
        <f t="shared" si="3"/>
        <v>5.0079252936170207</v>
      </c>
      <c r="N54" s="220">
        <f t="shared" si="13"/>
        <v>103.06147614384061</v>
      </c>
      <c r="O54" s="88">
        <f t="shared" si="14"/>
        <v>99.76</v>
      </c>
      <c r="P54" s="20">
        <v>2.6</v>
      </c>
      <c r="Q54" s="90">
        <v>94.497500000000002</v>
      </c>
      <c r="R54" s="96">
        <v>8</v>
      </c>
      <c r="S54" s="56">
        <f t="shared" si="9"/>
        <v>0.6</v>
      </c>
      <c r="T54" s="56">
        <f t="shared" si="15"/>
        <v>7.9699999999999989</v>
      </c>
      <c r="U54" s="89">
        <f t="shared" si="16"/>
        <v>11.98</v>
      </c>
      <c r="W54" s="123"/>
      <c r="X54" s="123"/>
    </row>
    <row r="55" spans="1:24" ht="16.5" customHeight="1">
      <c r="A55" s="22">
        <v>46002</v>
      </c>
      <c r="B55" s="7">
        <v>51</v>
      </c>
      <c r="C55" s="49">
        <v>0.21180555555555552</v>
      </c>
      <c r="D55" s="186">
        <f t="shared" si="6"/>
        <v>12.140972222222219</v>
      </c>
      <c r="E55" s="16">
        <v>24.503333333333259</v>
      </c>
      <c r="F55" s="16">
        <v>12.6916666666667</v>
      </c>
      <c r="G55" s="16">
        <v>60</v>
      </c>
      <c r="H55" s="10">
        <f t="shared" si="12"/>
        <v>5.72</v>
      </c>
      <c r="I55" s="20">
        <v>10</v>
      </c>
      <c r="J55" s="90">
        <v>4.9500000000000002E-2</v>
      </c>
      <c r="K55" s="16">
        <v>60</v>
      </c>
      <c r="L55" s="87">
        <f t="shared" si="11"/>
        <v>9.1080000000000015E-3</v>
      </c>
      <c r="M55" s="220">
        <f t="shared" si="3"/>
        <v>5.7108919999999994</v>
      </c>
      <c r="N55" s="220">
        <f t="shared" si="13"/>
        <v>108.77236814384061</v>
      </c>
      <c r="O55" s="88">
        <f t="shared" si="14"/>
        <v>99.84</v>
      </c>
      <c r="P55" s="20">
        <v>2.8111111111111109</v>
      </c>
      <c r="Q55" s="90">
        <v>100</v>
      </c>
      <c r="R55" s="96">
        <v>9</v>
      </c>
      <c r="S55" s="56">
        <f t="shared" si="9"/>
        <v>0.78</v>
      </c>
      <c r="T55" s="56">
        <f t="shared" si="15"/>
        <v>8.7499999999999982</v>
      </c>
      <c r="U55" s="89">
        <f t="shared" si="16"/>
        <v>13.66</v>
      </c>
      <c r="W55" s="123"/>
      <c r="X55" s="123"/>
    </row>
    <row r="56" spans="1:24" ht="16.5" customHeight="1">
      <c r="A56" s="22">
        <v>46003</v>
      </c>
      <c r="B56" s="7">
        <v>52</v>
      </c>
      <c r="C56" s="49">
        <v>0.21527777777777773</v>
      </c>
      <c r="D56" s="186">
        <f t="shared" si="6"/>
        <v>12.356249999999998</v>
      </c>
      <c r="E56" s="16">
        <v>23.93333333333328</v>
      </c>
      <c r="F56" s="16">
        <v>12.409473684210559</v>
      </c>
      <c r="G56" s="16">
        <v>57</v>
      </c>
      <c r="H56" s="10">
        <f t="shared" si="12"/>
        <v>5.19</v>
      </c>
      <c r="I56" s="20">
        <v>11.350877192982455</v>
      </c>
      <c r="J56" s="16">
        <v>6.10526315789474E-2</v>
      </c>
      <c r="K56" s="16">
        <v>57</v>
      </c>
      <c r="L56" s="87">
        <f t="shared" si="11"/>
        <v>1.2113656140350884E-2</v>
      </c>
      <c r="M56" s="220">
        <f t="shared" si="3"/>
        <v>5.1778863438596492</v>
      </c>
      <c r="N56" s="220">
        <f t="shared" si="13"/>
        <v>113.95025448770026</v>
      </c>
      <c r="O56" s="88">
        <f t="shared" si="14"/>
        <v>99.77</v>
      </c>
      <c r="P56" s="20">
        <v>3.2124999999999995</v>
      </c>
      <c r="Q56" s="90">
        <v>97.483750000000001</v>
      </c>
      <c r="R56" s="96">
        <v>8</v>
      </c>
      <c r="S56" s="56">
        <f t="shared" si="9"/>
        <v>0.77</v>
      </c>
      <c r="T56" s="56">
        <f t="shared" si="15"/>
        <v>9.5199999999999978</v>
      </c>
      <c r="U56" s="89">
        <f t="shared" si="16"/>
        <v>14.87</v>
      </c>
      <c r="W56" s="123"/>
      <c r="X56" s="123"/>
    </row>
    <row r="57" spans="1:24" ht="16.5" customHeight="1">
      <c r="A57" s="22">
        <v>46006</v>
      </c>
      <c r="B57" s="7">
        <v>53</v>
      </c>
      <c r="C57" s="49">
        <v>0.21666666666666662</v>
      </c>
      <c r="D57" s="186">
        <f t="shared" si="6"/>
        <v>12.572916666666664</v>
      </c>
      <c r="E57" s="16">
        <v>27.126415094339613</v>
      </c>
      <c r="F57" s="16">
        <v>12.34641509433961</v>
      </c>
      <c r="G57" s="16">
        <v>53</v>
      </c>
      <c r="H57" s="10">
        <f t="shared" si="12"/>
        <v>5.44</v>
      </c>
      <c r="I57" s="20">
        <v>12.339622641509434</v>
      </c>
      <c r="J57" s="16">
        <v>8.4528301886792431E-2</v>
      </c>
      <c r="K57" s="16">
        <v>53</v>
      </c>
      <c r="L57" s="87">
        <f t="shared" si="11"/>
        <v>1.6952996226415093E-2</v>
      </c>
      <c r="M57" s="220">
        <f t="shared" si="3"/>
        <v>5.4230470037735854</v>
      </c>
      <c r="N57" s="220">
        <f t="shared" si="13"/>
        <v>119.37330149147385</v>
      </c>
      <c r="O57" s="88">
        <f t="shared" si="14"/>
        <v>99.69</v>
      </c>
      <c r="P57" s="20">
        <v>3.371428571428571</v>
      </c>
      <c r="Q57" s="90">
        <v>97.357142857142861</v>
      </c>
      <c r="R57" s="96">
        <v>7</v>
      </c>
      <c r="S57" s="56">
        <f t="shared" si="9"/>
        <v>0.7</v>
      </c>
      <c r="T57" s="56">
        <f t="shared" si="15"/>
        <v>10.219999999999997</v>
      </c>
      <c r="U57" s="89">
        <f t="shared" si="16"/>
        <v>12.91</v>
      </c>
      <c r="W57" s="123"/>
      <c r="X57" s="123"/>
    </row>
    <row r="58" spans="1:24" ht="16.5" customHeight="1">
      <c r="A58" s="22">
        <v>46007</v>
      </c>
      <c r="B58" s="7">
        <v>54</v>
      </c>
      <c r="C58" s="49">
        <v>0.22222222222222227</v>
      </c>
      <c r="D58" s="186">
        <f t="shared" si="6"/>
        <v>12.795138888888886</v>
      </c>
      <c r="E58" s="16">
        <v>25.016393442622906</v>
      </c>
      <c r="F58" s="16">
        <v>11.49393442622946</v>
      </c>
      <c r="G58" s="16">
        <v>61</v>
      </c>
      <c r="H58" s="10">
        <f t="shared" si="12"/>
        <v>5.38</v>
      </c>
      <c r="I58" s="20">
        <v>10.229508196721312</v>
      </c>
      <c r="J58" s="16">
        <v>5.1475409836065585E-2</v>
      </c>
      <c r="K58" s="16">
        <v>61</v>
      </c>
      <c r="L58" s="87">
        <f t="shared" si="11"/>
        <v>9.8503344262295105E-3</v>
      </c>
      <c r="M58" s="220">
        <f t="shared" si="3"/>
        <v>5.3701496655737708</v>
      </c>
      <c r="N58" s="220">
        <f t="shared" si="13"/>
        <v>124.74345115704763</v>
      </c>
      <c r="O58" s="88">
        <f t="shared" si="14"/>
        <v>99.82</v>
      </c>
      <c r="P58" s="20">
        <v>2.9333333333333327</v>
      </c>
      <c r="Q58" s="90">
        <v>100</v>
      </c>
      <c r="R58" s="96">
        <v>9</v>
      </c>
      <c r="S58" s="56">
        <f t="shared" si="9"/>
        <v>0.81</v>
      </c>
      <c r="T58" s="56">
        <f t="shared" si="15"/>
        <v>11.029999999999998</v>
      </c>
      <c r="U58" s="89">
        <f t="shared" si="16"/>
        <v>15.08</v>
      </c>
      <c r="W58" s="123"/>
      <c r="X58" s="123"/>
    </row>
    <row r="59" spans="1:24" ht="16.5" customHeight="1">
      <c r="A59" s="22">
        <v>46008</v>
      </c>
      <c r="B59" s="7">
        <v>55</v>
      </c>
      <c r="C59" s="49">
        <v>0.21875</v>
      </c>
      <c r="D59" s="186">
        <f t="shared" si="6"/>
        <v>13.013888888888886</v>
      </c>
      <c r="E59" s="16">
        <v>29.268888888888721</v>
      </c>
      <c r="F59" s="16">
        <v>12.741111111111087</v>
      </c>
      <c r="G59" s="16">
        <v>45</v>
      </c>
      <c r="H59" s="10">
        <f t="shared" si="12"/>
        <v>5.15</v>
      </c>
      <c r="I59" s="20">
        <v>11.777777777777779</v>
      </c>
      <c r="J59" s="16">
        <v>3.1111111111111114E-2</v>
      </c>
      <c r="K59" s="16">
        <v>45</v>
      </c>
      <c r="L59" s="87">
        <f t="shared" si="11"/>
        <v>5.0565925925925952E-3</v>
      </c>
      <c r="M59" s="220">
        <f t="shared" si="3"/>
        <v>5.1449434074074079</v>
      </c>
      <c r="N59" s="220">
        <f t="shared" si="13"/>
        <v>129.88839456445504</v>
      </c>
      <c r="O59" s="88">
        <f t="shared" si="14"/>
        <v>99.9</v>
      </c>
      <c r="P59" s="20">
        <v>3.1899999999999995</v>
      </c>
      <c r="Q59" s="90">
        <v>99.484000000000009</v>
      </c>
      <c r="R59" s="96">
        <v>10</v>
      </c>
      <c r="S59" s="56">
        <f t="shared" si="9"/>
        <v>0.97</v>
      </c>
      <c r="T59" s="56">
        <f t="shared" si="15"/>
        <v>11.999999999999998</v>
      </c>
      <c r="U59" s="89">
        <f t="shared" si="16"/>
        <v>18.850000000000001</v>
      </c>
      <c r="W59" s="123"/>
      <c r="X59" s="123"/>
    </row>
    <row r="60" spans="1:24" ht="16.5" customHeight="1">
      <c r="A60" s="22">
        <v>46009</v>
      </c>
      <c r="B60" s="7">
        <v>56</v>
      </c>
      <c r="C60" s="49">
        <v>0.28750000000000003</v>
      </c>
      <c r="D60" s="186">
        <f t="shared" si="6"/>
        <v>13.301388888888885</v>
      </c>
      <c r="E60" s="16">
        <v>22.75</v>
      </c>
      <c r="F60" s="16">
        <v>19.550000000000086</v>
      </c>
      <c r="G60" s="16">
        <v>40</v>
      </c>
      <c r="H60" s="10">
        <f t="shared" si="12"/>
        <v>5.46</v>
      </c>
      <c r="I60" s="20">
        <v>15.25</v>
      </c>
      <c r="J60" s="16">
        <v>0.31949999999999867</v>
      </c>
      <c r="K60" s="16">
        <v>40</v>
      </c>
      <c r="L60" s="87">
        <f t="shared" si="11"/>
        <v>5.9767799999999753E-2</v>
      </c>
      <c r="M60" s="220">
        <f t="shared" si="3"/>
        <v>5.4002322000000005</v>
      </c>
      <c r="N60" s="220">
        <f t="shared" si="13"/>
        <v>135.28862676445505</v>
      </c>
      <c r="O60" s="88">
        <f t="shared" si="14"/>
        <v>98.91</v>
      </c>
      <c r="P60" s="20">
        <v>3.3</v>
      </c>
      <c r="Q60" s="90">
        <v>77.059999999999988</v>
      </c>
      <c r="R60" s="96">
        <v>10</v>
      </c>
      <c r="S60" s="56">
        <f t="shared" si="9"/>
        <v>0.78</v>
      </c>
      <c r="T60" s="56">
        <f t="shared" si="15"/>
        <v>12.779999999999998</v>
      </c>
      <c r="U60" s="89">
        <f t="shared" si="16"/>
        <v>14.44</v>
      </c>
      <c r="W60" s="123"/>
      <c r="X60" s="123"/>
    </row>
    <row r="61" spans="1:24" ht="16.5" customHeight="1">
      <c r="A61" s="22">
        <v>46013</v>
      </c>
      <c r="B61" s="7">
        <v>57</v>
      </c>
      <c r="C61" s="49">
        <v>0.21180555555555552</v>
      </c>
      <c r="D61" s="186">
        <f t="shared" si="6"/>
        <v>13.513194444444441</v>
      </c>
      <c r="E61" s="16">
        <v>24.019047619047647</v>
      </c>
      <c r="F61" s="16">
        <v>11.687619047618997</v>
      </c>
      <c r="G61" s="16">
        <v>42</v>
      </c>
      <c r="H61" s="10">
        <f t="shared" si="12"/>
        <v>3.62</v>
      </c>
      <c r="I61" s="20">
        <v>12.047619047619047</v>
      </c>
      <c r="J61" s="16">
        <v>8.3095238095238111E-2</v>
      </c>
      <c r="K61" s="16">
        <v>42</v>
      </c>
      <c r="L61" s="87">
        <f t="shared" si="11"/>
        <v>1.2894165079365083E-2</v>
      </c>
      <c r="M61" s="220">
        <f t="shared" si="3"/>
        <v>3.6071058349206351</v>
      </c>
      <c r="N61" s="220">
        <f t="shared" si="13"/>
        <v>138.89573259937569</v>
      </c>
      <c r="O61" s="88">
        <f t="shared" si="14"/>
        <v>99.64</v>
      </c>
      <c r="P61" s="20">
        <v>3.5999999999999996</v>
      </c>
      <c r="Q61" s="90">
        <v>100</v>
      </c>
      <c r="R61" s="96">
        <v>6</v>
      </c>
      <c r="S61" s="56">
        <f t="shared" si="9"/>
        <v>0.66</v>
      </c>
      <c r="T61" s="56">
        <f t="shared" si="15"/>
        <v>13.439999999999998</v>
      </c>
      <c r="U61" s="89">
        <f t="shared" si="16"/>
        <v>18.3</v>
      </c>
      <c r="W61" s="123"/>
      <c r="X61" s="123"/>
    </row>
    <row r="62" spans="1:24" ht="16.5" customHeight="1">
      <c r="A62" s="22">
        <v>46014</v>
      </c>
      <c r="B62" s="7">
        <v>58</v>
      </c>
      <c r="C62" s="49">
        <v>0.22013888888888894</v>
      </c>
      <c r="D62" s="186">
        <f t="shared" si="6"/>
        <v>13.733333333333329</v>
      </c>
      <c r="E62" s="16">
        <v>26.12679738562084</v>
      </c>
      <c r="F62" s="16">
        <v>12.154803921568615</v>
      </c>
      <c r="G62" s="16">
        <v>51</v>
      </c>
      <c r="H62" s="10">
        <f t="shared" si="12"/>
        <v>4.97</v>
      </c>
      <c r="I62" s="20">
        <v>11.029411764705882</v>
      </c>
      <c r="J62" s="16">
        <v>7.4705882352941205E-2</v>
      </c>
      <c r="K62" s="16">
        <v>51</v>
      </c>
      <c r="L62" s="87">
        <f t="shared" si="11"/>
        <v>1.288676470588236E-2</v>
      </c>
      <c r="M62" s="220">
        <f t="shared" si="3"/>
        <v>4.9571132352941172</v>
      </c>
      <c r="N62" s="220">
        <f t="shared" si="13"/>
        <v>143.85284583466981</v>
      </c>
      <c r="O62" s="88">
        <f t="shared" si="14"/>
        <v>99.74</v>
      </c>
      <c r="P62" s="20">
        <v>3.1444444444444439</v>
      </c>
      <c r="Q62" s="90">
        <v>100</v>
      </c>
      <c r="R62" s="96">
        <v>9</v>
      </c>
      <c r="S62" s="56">
        <f t="shared" si="9"/>
        <v>0.87</v>
      </c>
      <c r="T62" s="56">
        <f t="shared" si="15"/>
        <v>14.309999999999997</v>
      </c>
      <c r="U62" s="89">
        <f t="shared" si="16"/>
        <v>17.55</v>
      </c>
      <c r="W62" s="123"/>
      <c r="X62" s="123"/>
    </row>
    <row r="63" spans="1:24" ht="16.5" customHeight="1">
      <c r="A63" s="22">
        <v>46015</v>
      </c>
      <c r="B63" s="7">
        <v>59</v>
      </c>
      <c r="C63" s="49">
        <v>0.21388888888888885</v>
      </c>
      <c r="D63" s="186">
        <f>D62+C63</f>
        <v>13.947222222222218</v>
      </c>
      <c r="E63" s="99">
        <v>12.840000000000003</v>
      </c>
      <c r="F63" s="99">
        <v>11.806666666666679</v>
      </c>
      <c r="G63" s="99">
        <v>30</v>
      </c>
      <c r="H63" s="10">
        <f t="shared" si="12"/>
        <v>1.39</v>
      </c>
      <c r="I63" s="100">
        <v>13.866666666666667</v>
      </c>
      <c r="J63" s="99">
        <v>0</v>
      </c>
      <c r="K63" s="99">
        <v>30</v>
      </c>
      <c r="L63" s="87">
        <f t="shared" si="11"/>
        <v>0</v>
      </c>
      <c r="M63" s="220">
        <f t="shared" si="3"/>
        <v>1.39</v>
      </c>
      <c r="N63" s="220">
        <f t="shared" si="13"/>
        <v>145.24284583466979</v>
      </c>
      <c r="O63" s="88">
        <f t="shared" si="14"/>
        <v>100</v>
      </c>
      <c r="P63" s="100">
        <v>3.8199999999999994</v>
      </c>
      <c r="Q63" s="101">
        <v>98.918000000000006</v>
      </c>
      <c r="R63" s="68">
        <v>5</v>
      </c>
      <c r="S63" s="56">
        <f t="shared" si="9"/>
        <v>0.57999999999999996</v>
      </c>
      <c r="T63" s="56">
        <f t="shared" si="15"/>
        <v>14.889999999999997</v>
      </c>
      <c r="U63" s="89">
        <f t="shared" si="16"/>
        <v>41.73</v>
      </c>
      <c r="W63" s="123"/>
      <c r="X63" s="123"/>
    </row>
    <row r="64" spans="1:24" ht="16.5" customHeight="1">
      <c r="A64" s="22">
        <v>46016</v>
      </c>
      <c r="B64" s="7">
        <v>60</v>
      </c>
      <c r="C64" s="49">
        <v>0.25208333333333338</v>
      </c>
      <c r="D64" s="186">
        <f t="shared" si="6"/>
        <v>14.199305555555551</v>
      </c>
      <c r="E64" s="16">
        <v>23.085714285714189</v>
      </c>
      <c r="F64" s="16">
        <v>12.534285714285719</v>
      </c>
      <c r="G64" s="16">
        <v>49</v>
      </c>
      <c r="H64" s="10">
        <f t="shared" si="12"/>
        <v>4.3499999999999996</v>
      </c>
      <c r="I64" s="16">
        <v>11.775510204081632</v>
      </c>
      <c r="J64" s="16">
        <v>8.2448979591836738E-2</v>
      </c>
      <c r="K64" s="16">
        <v>49</v>
      </c>
      <c r="L64" s="87">
        <f t="shared" si="11"/>
        <v>1.458907210884354E-2</v>
      </c>
      <c r="M64" s="220">
        <f t="shared" si="3"/>
        <v>4.3354109278911563</v>
      </c>
      <c r="N64" s="220">
        <f t="shared" si="13"/>
        <v>149.57825676256095</v>
      </c>
      <c r="O64" s="88">
        <f t="shared" si="14"/>
        <v>99.66</v>
      </c>
      <c r="P64" s="16">
        <v>4.12</v>
      </c>
      <c r="Q64" s="90">
        <v>100</v>
      </c>
      <c r="R64" s="96">
        <v>5</v>
      </c>
      <c r="S64" s="56">
        <f t="shared" si="9"/>
        <v>0.63</v>
      </c>
      <c r="T64" s="56">
        <f t="shared" si="15"/>
        <v>15.519999999999998</v>
      </c>
      <c r="U64" s="89">
        <f t="shared" si="16"/>
        <v>14.53</v>
      </c>
      <c r="W64" s="123"/>
      <c r="X64" s="123"/>
    </row>
    <row r="65" spans="1:24" ht="16.5" customHeight="1">
      <c r="A65" s="22">
        <v>46017</v>
      </c>
      <c r="B65" s="7">
        <v>61</v>
      </c>
      <c r="C65" s="49">
        <v>0.2097222222222222</v>
      </c>
      <c r="D65" s="186">
        <f t="shared" si="6"/>
        <v>14.409027777777773</v>
      </c>
      <c r="E65" s="16">
        <v>25.476470588235301</v>
      </c>
      <c r="F65" s="16">
        <v>13.075937500000004</v>
      </c>
      <c r="G65" s="16">
        <v>34</v>
      </c>
      <c r="H65" s="10">
        <f t="shared" si="12"/>
        <v>3.47</v>
      </c>
      <c r="I65" s="20">
        <v>12.443749999999994</v>
      </c>
      <c r="J65" s="16">
        <v>1.9375E-2</v>
      </c>
      <c r="K65" s="16">
        <v>34</v>
      </c>
      <c r="L65" s="87">
        <f t="shared" si="11"/>
        <v>2.5138448958333319E-3</v>
      </c>
      <c r="M65" s="220">
        <f t="shared" si="3"/>
        <v>3.4674861551041669</v>
      </c>
      <c r="N65" s="220">
        <f t="shared" si="13"/>
        <v>153.04574291766511</v>
      </c>
      <c r="O65" s="88">
        <f t="shared" si="14"/>
        <v>99.93</v>
      </c>
      <c r="P65" s="20">
        <v>5</v>
      </c>
      <c r="Q65" s="90">
        <v>100</v>
      </c>
      <c r="R65" s="96">
        <v>2</v>
      </c>
      <c r="S65" s="56">
        <f t="shared" si="9"/>
        <v>0.31</v>
      </c>
      <c r="T65" s="56">
        <f t="shared" si="15"/>
        <v>15.829999999999998</v>
      </c>
      <c r="U65" s="89">
        <f t="shared" si="16"/>
        <v>8.94</v>
      </c>
      <c r="W65" s="123"/>
      <c r="X65" s="123"/>
    </row>
    <row r="66" spans="1:24" ht="16.5" customHeight="1">
      <c r="A66" s="22">
        <v>46027</v>
      </c>
      <c r="B66" s="7">
        <v>62</v>
      </c>
      <c r="C66" s="49">
        <v>0.21388888888888891</v>
      </c>
      <c r="D66" s="186">
        <f t="shared" si="6"/>
        <v>14.622916666666661</v>
      </c>
      <c r="E66" s="16">
        <v>22.956666666666731</v>
      </c>
      <c r="F66" s="16">
        <v>13.086666666666673</v>
      </c>
      <c r="G66" s="16">
        <v>30</v>
      </c>
      <c r="H66" s="10">
        <f t="shared" si="12"/>
        <v>2.76</v>
      </c>
      <c r="I66" s="20">
        <v>12</v>
      </c>
      <c r="J66" s="16">
        <v>0.11</v>
      </c>
      <c r="K66" s="16">
        <v>30</v>
      </c>
      <c r="L66" s="87">
        <f t="shared" si="11"/>
        <v>1.2144000000000002E-2</v>
      </c>
      <c r="M66" s="220">
        <f t="shared" si="3"/>
        <v>2.7478559999999996</v>
      </c>
      <c r="N66" s="220">
        <f t="shared" si="13"/>
        <v>155.79359891766512</v>
      </c>
      <c r="O66" s="88">
        <f t="shared" si="14"/>
        <v>99.56</v>
      </c>
      <c r="P66" s="20">
        <v>2.88</v>
      </c>
      <c r="Q66" s="90">
        <v>100</v>
      </c>
      <c r="R66" s="96">
        <v>5</v>
      </c>
      <c r="S66" s="56">
        <f t="shared" si="9"/>
        <v>0.44</v>
      </c>
      <c r="T66" s="56">
        <f t="shared" si="15"/>
        <v>16.27</v>
      </c>
      <c r="U66" s="89">
        <f t="shared" si="16"/>
        <v>16.010000000000002</v>
      </c>
      <c r="W66" s="123"/>
      <c r="X66" s="123"/>
    </row>
    <row r="67" spans="1:24" ht="16.5" customHeight="1">
      <c r="A67" s="22">
        <v>46028</v>
      </c>
      <c r="B67" s="7">
        <v>63</v>
      </c>
      <c r="C67" s="49">
        <v>0.25138888888888883</v>
      </c>
      <c r="D67" s="186">
        <f t="shared" si="6"/>
        <v>14.87430555555555</v>
      </c>
      <c r="E67" s="16">
        <v>20.306896551724073</v>
      </c>
      <c r="F67" s="16">
        <v>12.893793103448248</v>
      </c>
      <c r="G67" s="16">
        <v>29</v>
      </c>
      <c r="H67" s="10">
        <f t="shared" si="12"/>
        <v>2.33</v>
      </c>
      <c r="I67" s="20">
        <v>12.310344827586201</v>
      </c>
      <c r="J67" s="16">
        <v>0.12655172413793106</v>
      </c>
      <c r="K67" s="16">
        <v>29</v>
      </c>
      <c r="L67" s="87">
        <f t="shared" si="11"/>
        <v>1.3854882758620688E-2</v>
      </c>
      <c r="M67" s="220">
        <f t="shared" si="3"/>
        <v>2.3161451172413794</v>
      </c>
      <c r="N67" s="220">
        <f t="shared" si="13"/>
        <v>158.1097440349065</v>
      </c>
      <c r="O67" s="88">
        <f t="shared" si="14"/>
        <v>99.41</v>
      </c>
      <c r="P67" s="20">
        <v>3.2714285714285714</v>
      </c>
      <c r="Q67" s="90">
        <v>100</v>
      </c>
      <c r="R67" s="96">
        <v>7</v>
      </c>
      <c r="S67" s="56">
        <f t="shared" si="9"/>
        <v>0.7</v>
      </c>
      <c r="T67" s="56">
        <f t="shared" si="15"/>
        <v>16.97</v>
      </c>
      <c r="U67" s="89">
        <f t="shared" si="16"/>
        <v>30.22</v>
      </c>
      <c r="W67" s="123"/>
      <c r="X67" s="123"/>
    </row>
    <row r="68" spans="1:24" ht="16.5" customHeight="1">
      <c r="A68" s="22">
        <v>46029</v>
      </c>
      <c r="B68" s="7">
        <v>64</v>
      </c>
      <c r="C68" s="49">
        <v>0.23750000000000004</v>
      </c>
      <c r="D68" s="186">
        <f t="shared" si="6"/>
        <v>15.11180555555555</v>
      </c>
      <c r="E68" s="16">
        <v>16.394117647058795</v>
      </c>
      <c r="F68" s="16">
        <v>9.9641176470588224</v>
      </c>
      <c r="G68" s="16">
        <v>17</v>
      </c>
      <c r="H68" s="10">
        <f t="shared" si="12"/>
        <v>0.85</v>
      </c>
      <c r="I68" s="20">
        <v>15</v>
      </c>
      <c r="J68" s="16">
        <v>0.10588235294117648</v>
      </c>
      <c r="K68" s="16">
        <v>17</v>
      </c>
      <c r="L68" s="87">
        <f t="shared" si="11"/>
        <v>8.2800000000000009E-3</v>
      </c>
      <c r="M68" s="220">
        <f t="shared" si="3"/>
        <v>0.84172000000000002</v>
      </c>
      <c r="N68" s="220">
        <f t="shared" si="13"/>
        <v>158.95146403490651</v>
      </c>
      <c r="O68" s="88">
        <f t="shared" si="14"/>
        <v>99.03</v>
      </c>
      <c r="P68" s="20">
        <v>3.8571428571428572</v>
      </c>
      <c r="Q68" s="90">
        <v>100</v>
      </c>
      <c r="R68" s="96">
        <v>7</v>
      </c>
      <c r="S68" s="56">
        <f t="shared" si="9"/>
        <v>0.83</v>
      </c>
      <c r="T68" s="56">
        <f t="shared" si="15"/>
        <v>17.799999999999997</v>
      </c>
      <c r="U68" s="89">
        <f t="shared" si="16"/>
        <v>98.61</v>
      </c>
      <c r="W68" s="123"/>
      <c r="X68" s="123"/>
    </row>
    <row r="69" spans="1:24" ht="16.5" customHeight="1">
      <c r="A69" s="22">
        <v>46030</v>
      </c>
      <c r="B69" s="7">
        <v>65</v>
      </c>
      <c r="C69" s="49">
        <v>0.18958333333333338</v>
      </c>
      <c r="D69" s="186">
        <f t="shared" si="6"/>
        <v>15.301388888888884</v>
      </c>
      <c r="E69" s="16">
        <v>15.941176470588244</v>
      </c>
      <c r="F69" s="16">
        <v>12.476470588235308</v>
      </c>
      <c r="G69" s="16">
        <v>17</v>
      </c>
      <c r="H69" s="10">
        <f t="shared" si="12"/>
        <v>1.04</v>
      </c>
      <c r="I69" s="20">
        <v>16</v>
      </c>
      <c r="J69" s="16">
        <v>0.13</v>
      </c>
      <c r="K69" s="16">
        <v>17</v>
      </c>
      <c r="L69" s="87">
        <f t="shared" si="11"/>
        <v>1.0843733333333334E-2</v>
      </c>
      <c r="M69" s="220">
        <f t="shared" si="3"/>
        <v>1.0291562666666667</v>
      </c>
      <c r="N69" s="220">
        <f t="shared" si="13"/>
        <v>159.98062030157317</v>
      </c>
      <c r="O69" s="88">
        <f t="shared" si="14"/>
        <v>98.96</v>
      </c>
      <c r="P69" s="20">
        <v>2.9333333333333331</v>
      </c>
      <c r="Q69" s="90">
        <v>85.601666666666674</v>
      </c>
      <c r="R69" s="96">
        <v>6</v>
      </c>
      <c r="S69" s="56">
        <f t="shared" si="9"/>
        <v>0.46</v>
      </c>
      <c r="T69" s="56">
        <f t="shared" si="15"/>
        <v>18.259999999999998</v>
      </c>
      <c r="U69" s="89">
        <f t="shared" si="16"/>
        <v>44.7</v>
      </c>
      <c r="W69" s="123"/>
      <c r="X69" s="123"/>
    </row>
    <row r="70" spans="1:24" ht="16.5" customHeight="1">
      <c r="A70" s="22">
        <v>46031</v>
      </c>
      <c r="B70" s="7">
        <v>66</v>
      </c>
      <c r="C70" s="49">
        <v>0.21736111111111106</v>
      </c>
      <c r="D70" s="186">
        <f t="shared" si="6"/>
        <v>15.518749999999995</v>
      </c>
      <c r="E70" s="16">
        <v>23.074999999999982</v>
      </c>
      <c r="F70" s="16">
        <v>12.307499999999983</v>
      </c>
      <c r="G70" s="16">
        <v>12</v>
      </c>
      <c r="H70" s="10">
        <f t="shared" si="12"/>
        <v>1.05</v>
      </c>
      <c r="I70" s="16">
        <v>13.333333333333334</v>
      </c>
      <c r="J70" s="16">
        <v>0.2566666666666666</v>
      </c>
      <c r="K70" s="16">
        <v>12</v>
      </c>
      <c r="L70" s="87">
        <f t="shared" si="11"/>
        <v>1.2593777777777777E-2</v>
      </c>
      <c r="M70" s="220">
        <f t="shared" ref="M70:M88" si="17">H70-L70</f>
        <v>1.0374062222222222</v>
      </c>
      <c r="N70" s="220">
        <f t="shared" si="13"/>
        <v>161.01802652379538</v>
      </c>
      <c r="O70" s="88">
        <f t="shared" si="14"/>
        <v>98.8</v>
      </c>
      <c r="P70" s="16">
        <v>2.8200000000000003</v>
      </c>
      <c r="Q70" s="90">
        <v>86.217999999999989</v>
      </c>
      <c r="R70" s="96">
        <v>10</v>
      </c>
      <c r="S70" s="56">
        <f t="shared" si="9"/>
        <v>0.75</v>
      </c>
      <c r="T70" s="56">
        <f t="shared" si="15"/>
        <v>19.009999999999998</v>
      </c>
      <c r="U70" s="89">
        <f t="shared" si="16"/>
        <v>72.3</v>
      </c>
      <c r="W70" s="123"/>
      <c r="X70" s="123"/>
    </row>
    <row r="71" spans="1:24" ht="16.5" customHeight="1">
      <c r="A71" s="22">
        <v>46042</v>
      </c>
      <c r="B71" s="7">
        <v>67</v>
      </c>
      <c r="C71" s="49">
        <v>0.28819444444444442</v>
      </c>
      <c r="D71" s="186">
        <f t="shared" ref="D71:D105" si="18">D70+C71</f>
        <v>15.80694444444444</v>
      </c>
      <c r="E71" s="16">
        <v>27.900000000000027</v>
      </c>
      <c r="F71" s="16">
        <v>10.265263157894722</v>
      </c>
      <c r="G71" s="16">
        <v>19</v>
      </c>
      <c r="H71" s="10">
        <f t="shared" si="12"/>
        <v>1.67</v>
      </c>
      <c r="I71" s="20">
        <v>13.368421052631579</v>
      </c>
      <c r="J71" s="16">
        <v>0.10052631578947367</v>
      </c>
      <c r="K71" s="16">
        <v>19</v>
      </c>
      <c r="L71" s="87">
        <f t="shared" si="11"/>
        <v>7.8303298245614023E-3</v>
      </c>
      <c r="M71" s="220">
        <f t="shared" si="17"/>
        <v>1.6621696701754385</v>
      </c>
      <c r="N71" s="220">
        <f t="shared" si="13"/>
        <v>162.68019619397083</v>
      </c>
      <c r="O71" s="88">
        <f t="shared" si="14"/>
        <v>99.53</v>
      </c>
      <c r="P71" s="20">
        <v>3.55</v>
      </c>
      <c r="Q71" s="90">
        <v>100</v>
      </c>
      <c r="R71" s="96">
        <v>4</v>
      </c>
      <c r="S71" s="56">
        <f t="shared" si="9"/>
        <v>0.44</v>
      </c>
      <c r="T71" s="56">
        <f t="shared" si="15"/>
        <v>19.45</v>
      </c>
      <c r="U71" s="89">
        <f t="shared" si="16"/>
        <v>26.47</v>
      </c>
      <c r="W71" s="123"/>
      <c r="X71" s="123"/>
    </row>
    <row r="72" spans="1:24" ht="16.5" customHeight="1">
      <c r="A72" s="22">
        <v>46043</v>
      </c>
      <c r="B72" s="7">
        <v>68</v>
      </c>
      <c r="C72" s="49">
        <v>0.25</v>
      </c>
      <c r="D72" s="186">
        <f t="shared" si="18"/>
        <v>16.05694444444444</v>
      </c>
      <c r="E72" s="16">
        <v>28.283333333333335</v>
      </c>
      <c r="F72" s="16">
        <v>10.156666666666659</v>
      </c>
      <c r="G72" s="16">
        <v>18</v>
      </c>
      <c r="H72" s="10">
        <f t="shared" si="12"/>
        <v>1.59</v>
      </c>
      <c r="I72" s="20">
        <v>13.333333333333334</v>
      </c>
      <c r="J72" s="16">
        <v>7.2222222222222215E-2</v>
      </c>
      <c r="K72" s="16">
        <v>18</v>
      </c>
      <c r="L72" s="87">
        <f t="shared" si="11"/>
        <v>5.315555555555556E-3</v>
      </c>
      <c r="M72" s="220">
        <f t="shared" si="17"/>
        <v>1.5846844444444446</v>
      </c>
      <c r="N72" s="220">
        <f t="shared" si="13"/>
        <v>164.26488063841526</v>
      </c>
      <c r="O72" s="88">
        <f>ROUND(M72/H72*100,2)</f>
        <v>99.67</v>
      </c>
      <c r="P72" s="20">
        <v>1.4699999999999995</v>
      </c>
      <c r="Q72" s="90">
        <v>100</v>
      </c>
      <c r="R72" s="96">
        <v>20</v>
      </c>
      <c r="S72" s="56">
        <f t="shared" si="9"/>
        <v>0.9</v>
      </c>
      <c r="T72" s="56">
        <f t="shared" si="15"/>
        <v>20.349999999999998</v>
      </c>
      <c r="U72" s="89">
        <f t="shared" si="16"/>
        <v>56.79</v>
      </c>
      <c r="W72" s="123"/>
      <c r="X72" s="123"/>
    </row>
    <row r="73" spans="1:24" ht="16.5" customHeight="1">
      <c r="A73" s="22">
        <v>46049</v>
      </c>
      <c r="B73" s="7">
        <v>69</v>
      </c>
      <c r="C73" s="49">
        <v>0.2048611111111111</v>
      </c>
      <c r="D73" s="186">
        <f t="shared" si="18"/>
        <v>16.261805555555551</v>
      </c>
      <c r="E73" s="16">
        <v>26.549999999999944</v>
      </c>
      <c r="F73" s="16">
        <v>11.80710526315786</v>
      </c>
      <c r="G73" s="16">
        <v>38</v>
      </c>
      <c r="H73" s="10">
        <f t="shared" si="12"/>
        <v>3.65</v>
      </c>
      <c r="I73" s="20">
        <v>11.710526315789474</v>
      </c>
      <c r="J73" s="16">
        <v>4.8421052631578941E-2</v>
      </c>
      <c r="K73" s="16">
        <v>38</v>
      </c>
      <c r="L73" s="102">
        <f t="shared" si="11"/>
        <v>6.6078596491228074E-3</v>
      </c>
      <c r="M73" s="220">
        <f t="shared" si="17"/>
        <v>3.6433921403508771</v>
      </c>
      <c r="N73" s="220">
        <f>M73</f>
        <v>3.6433921403508771</v>
      </c>
      <c r="O73" s="88">
        <f t="shared" ref="O73:O88" si="19">ROUND(M73/H73*100,2)</f>
        <v>99.82</v>
      </c>
      <c r="P73" s="20">
        <v>3.3</v>
      </c>
      <c r="Q73" s="90">
        <v>100</v>
      </c>
      <c r="R73" s="9">
        <v>5</v>
      </c>
      <c r="S73" s="56">
        <f t="shared" si="9"/>
        <v>0.51</v>
      </c>
      <c r="T73" s="89">
        <f>S73</f>
        <v>0.51</v>
      </c>
      <c r="U73" s="14">
        <f t="shared" si="16"/>
        <v>14</v>
      </c>
      <c r="W73" s="123"/>
      <c r="X73" s="123"/>
    </row>
    <row r="74" spans="1:24" ht="16.5" customHeight="1">
      <c r="A74" s="22">
        <v>46050</v>
      </c>
      <c r="B74" s="7">
        <v>70</v>
      </c>
      <c r="C74" s="49">
        <v>0.13402777777777775</v>
      </c>
      <c r="D74" s="186">
        <f t="shared" si="18"/>
        <v>16.395833333333329</v>
      </c>
      <c r="E74" s="16">
        <v>16.666666666666661</v>
      </c>
      <c r="F74" s="16">
        <v>12.885238095238131</v>
      </c>
      <c r="G74" s="16">
        <v>21</v>
      </c>
      <c r="H74" s="10">
        <f t="shared" si="12"/>
        <v>1.38</v>
      </c>
      <c r="I74" s="20">
        <v>11.666666666666666</v>
      </c>
      <c r="J74" s="16">
        <v>0.88952380952380961</v>
      </c>
      <c r="K74" s="16">
        <v>21</v>
      </c>
      <c r="L74" s="87">
        <f t="shared" si="11"/>
        <v>6.6832888888888886E-2</v>
      </c>
      <c r="M74" s="220">
        <f t="shared" si="17"/>
        <v>1.313167111111111</v>
      </c>
      <c r="N74" s="187">
        <f t="shared" ref="N74:N75" si="20">N73+M74</f>
        <v>4.9565592514619876</v>
      </c>
      <c r="O74" s="88">
        <f t="shared" si="19"/>
        <v>95.16</v>
      </c>
      <c r="P74" s="20">
        <v>0.47111111111111115</v>
      </c>
      <c r="Q74" s="90">
        <v>100</v>
      </c>
      <c r="R74" s="9">
        <v>45</v>
      </c>
      <c r="S74" s="56">
        <f t="shared" ref="S74:S75" si="21">ROUND(P74*Q74*1.84*(R74/60)*0.01,2)</f>
        <v>0.65</v>
      </c>
      <c r="T74" s="89">
        <f>T73+S74</f>
        <v>1.1600000000000001</v>
      </c>
      <c r="U74" s="14">
        <f t="shared" si="16"/>
        <v>49.5</v>
      </c>
      <c r="W74" s="123"/>
      <c r="X74" s="123"/>
    </row>
    <row r="75" spans="1:24" ht="16.5" customHeight="1">
      <c r="A75" s="22">
        <v>46051</v>
      </c>
      <c r="B75" s="7">
        <v>71</v>
      </c>
      <c r="C75" s="49">
        <v>0.18263888888888885</v>
      </c>
      <c r="D75" s="186">
        <f t="shared" si="18"/>
        <v>16.578472222222217</v>
      </c>
      <c r="E75" s="16">
        <v>25.422222222222217</v>
      </c>
      <c r="F75" s="16">
        <v>12.929999999999991</v>
      </c>
      <c r="G75" s="16">
        <v>9</v>
      </c>
      <c r="H75" s="10">
        <f t="shared" si="12"/>
        <v>0.91</v>
      </c>
      <c r="I75" s="20">
        <v>11.333333333333334</v>
      </c>
      <c r="J75" s="16">
        <v>0.12222222222222225</v>
      </c>
      <c r="K75" s="16">
        <v>9</v>
      </c>
      <c r="L75" s="87">
        <f t="shared" si="11"/>
        <v>3.8231111111111122E-3</v>
      </c>
      <c r="M75" s="220">
        <f t="shared" si="17"/>
        <v>0.90617688888888892</v>
      </c>
      <c r="N75" s="187">
        <f t="shared" si="20"/>
        <v>5.8627361403508766</v>
      </c>
      <c r="O75" s="88">
        <f t="shared" si="19"/>
        <v>99.58</v>
      </c>
      <c r="P75" s="20">
        <v>0</v>
      </c>
      <c r="Q75" s="16">
        <v>0</v>
      </c>
      <c r="R75" s="16">
        <v>0</v>
      </c>
      <c r="S75" s="56">
        <f t="shared" si="21"/>
        <v>0</v>
      </c>
      <c r="T75" s="89">
        <f>T74+S75</f>
        <v>1.1600000000000001</v>
      </c>
      <c r="U75" s="14">
        <f t="shared" si="16"/>
        <v>0</v>
      </c>
      <c r="W75" s="123"/>
      <c r="X75" s="123"/>
    </row>
    <row r="76" spans="1:24" ht="16.5" customHeight="1">
      <c r="A76" s="22">
        <v>46055</v>
      </c>
      <c r="B76" s="7">
        <v>72</v>
      </c>
      <c r="C76" s="49">
        <v>0.23541666666666666</v>
      </c>
      <c r="D76" s="186">
        <f t="shared" si="18"/>
        <v>16.813888888888883</v>
      </c>
      <c r="E76" s="16">
        <v>20.938181818181729</v>
      </c>
      <c r="F76" s="16">
        <v>13</v>
      </c>
      <c r="G76" s="16">
        <v>110</v>
      </c>
      <c r="H76" s="10">
        <f t="shared" si="12"/>
        <v>9.18</v>
      </c>
      <c r="I76" s="20">
        <v>11.563636363636364</v>
      </c>
      <c r="J76" s="16">
        <v>1.2636363636363637E-2</v>
      </c>
      <c r="K76" s="16">
        <v>110</v>
      </c>
      <c r="L76" s="87">
        <f t="shared" si="11"/>
        <v>4.9291927272727279E-3</v>
      </c>
      <c r="M76" s="220">
        <f t="shared" si="17"/>
        <v>9.1750708072727267</v>
      </c>
      <c r="N76" s="220">
        <f>M76</f>
        <v>9.1750708072727267</v>
      </c>
      <c r="O76" s="88">
        <f t="shared" si="19"/>
        <v>99.95</v>
      </c>
      <c r="P76" s="20">
        <v>4.3454545454545448</v>
      </c>
      <c r="Q76" s="90">
        <v>99.320909090909083</v>
      </c>
      <c r="R76" s="9">
        <v>11</v>
      </c>
      <c r="S76" s="56">
        <f>ROUND(P76*Q76*1.84*(R76/60)*0.01,2)</f>
        <v>1.46</v>
      </c>
      <c r="T76" s="89">
        <f>S76</f>
        <v>1.46</v>
      </c>
      <c r="U76" s="14">
        <f>IFERROR(ROUND(S76/M76 *100,2),0)</f>
        <v>15.91</v>
      </c>
      <c r="W76" s="123"/>
      <c r="X76" s="123"/>
    </row>
    <row r="77" spans="1:24" ht="16.5" customHeight="1">
      <c r="A77" s="22">
        <v>46056</v>
      </c>
      <c r="B77" s="7">
        <v>73</v>
      </c>
      <c r="C77" s="49">
        <v>0.17291666666666661</v>
      </c>
      <c r="D77" s="186">
        <f t="shared" si="18"/>
        <v>16.986805555555549</v>
      </c>
      <c r="E77" s="16">
        <v>15.26923076923072</v>
      </c>
      <c r="F77" s="16">
        <v>12.507884615384622</v>
      </c>
      <c r="G77" s="16">
        <v>52</v>
      </c>
      <c r="H77" s="10">
        <f t="shared" si="12"/>
        <v>3.05</v>
      </c>
      <c r="I77" s="20">
        <v>15</v>
      </c>
      <c r="J77" s="16">
        <v>3.096153846153846E-2</v>
      </c>
      <c r="K77" s="16">
        <v>52</v>
      </c>
      <c r="L77" s="87">
        <f t="shared" si="11"/>
        <v>7.4059999999999994E-3</v>
      </c>
      <c r="M77" s="220">
        <f t="shared" si="17"/>
        <v>3.0425939999999998</v>
      </c>
      <c r="N77" s="187">
        <f t="shared" ref="N77:N88" si="22">N76+M77</f>
        <v>12.217664807272726</v>
      </c>
      <c r="O77" s="88">
        <f t="shared" si="19"/>
        <v>99.76</v>
      </c>
      <c r="P77" s="20" t="s">
        <v>18</v>
      </c>
      <c r="Q77" s="90" t="s">
        <v>18</v>
      </c>
      <c r="R77" s="9" t="s">
        <v>18</v>
      </c>
      <c r="S77" s="56" t="s">
        <v>18</v>
      </c>
      <c r="T77" s="89" t="s">
        <v>18</v>
      </c>
      <c r="U77" s="14" t="s">
        <v>18</v>
      </c>
      <c r="W77" s="123"/>
      <c r="X77" s="123"/>
    </row>
    <row r="78" spans="1:24" ht="16.5" customHeight="1">
      <c r="A78" s="22">
        <v>46057</v>
      </c>
      <c r="B78" s="7">
        <v>74</v>
      </c>
      <c r="C78" s="49">
        <v>0.21944444444444444</v>
      </c>
      <c r="D78" s="186">
        <f t="shared" si="18"/>
        <v>17.206249999999994</v>
      </c>
      <c r="E78" s="16">
        <v>15.39999999999999</v>
      </c>
      <c r="F78" s="16">
        <v>13.014807692307738</v>
      </c>
      <c r="G78" s="16">
        <v>52</v>
      </c>
      <c r="H78" s="10">
        <f t="shared" si="12"/>
        <v>3.2</v>
      </c>
      <c r="I78" s="20">
        <v>13.923076923076923</v>
      </c>
      <c r="J78" s="16">
        <v>3.865384615384615E-2</v>
      </c>
      <c r="K78" s="16">
        <v>52</v>
      </c>
      <c r="L78" s="87">
        <f t="shared" si="11"/>
        <v>8.5821846153846144E-3</v>
      </c>
      <c r="M78" s="220">
        <f t="shared" si="17"/>
        <v>3.1914178153846158</v>
      </c>
      <c r="N78" s="187">
        <f t="shared" si="22"/>
        <v>15.409082622657342</v>
      </c>
      <c r="O78" s="88">
        <f t="shared" si="19"/>
        <v>99.73</v>
      </c>
      <c r="P78" s="20">
        <v>5.7857142857142856</v>
      </c>
      <c r="Q78" s="90">
        <v>99.76428571428572</v>
      </c>
      <c r="R78" s="9">
        <v>7</v>
      </c>
      <c r="S78" s="56">
        <f t="shared" ref="S78:S88" si="23">ROUND(P78*Q78*1.84*(R78/60)*0.01,2)</f>
        <v>1.24</v>
      </c>
      <c r="T78" s="89">
        <f>T76+S78</f>
        <v>2.7</v>
      </c>
      <c r="U78" s="14">
        <f t="shared" ref="U78:U88" si="24">IFERROR(ROUND(S78/M78 *100,2),0)</f>
        <v>38.85</v>
      </c>
      <c r="W78" s="123"/>
      <c r="X78" s="123"/>
    </row>
    <row r="79" spans="1:24" ht="16.5" customHeight="1">
      <c r="A79" s="22">
        <v>46058</v>
      </c>
      <c r="B79" s="7">
        <v>75</v>
      </c>
      <c r="C79" s="49">
        <v>0.19861111111111113</v>
      </c>
      <c r="D79" s="186">
        <f t="shared" si="18"/>
        <v>17.404861111111106</v>
      </c>
      <c r="E79" s="16">
        <v>23.320312500000085</v>
      </c>
      <c r="F79" s="16">
        <v>12.901093750000015</v>
      </c>
      <c r="G79" s="16">
        <v>64</v>
      </c>
      <c r="H79" s="10">
        <f t="shared" si="12"/>
        <v>5.9</v>
      </c>
      <c r="I79" s="20">
        <v>13</v>
      </c>
      <c r="J79" s="16">
        <v>4.0312499999999994E-2</v>
      </c>
      <c r="K79" s="16">
        <v>64</v>
      </c>
      <c r="L79" s="87">
        <f t="shared" si="11"/>
        <v>1.0285599999999997E-2</v>
      </c>
      <c r="M79" s="220">
        <f t="shared" si="17"/>
        <v>5.8897144000000008</v>
      </c>
      <c r="N79" s="187">
        <f t="shared" si="22"/>
        <v>21.298797022657343</v>
      </c>
      <c r="O79" s="88">
        <f t="shared" si="19"/>
        <v>99.83</v>
      </c>
      <c r="P79" s="20">
        <v>4.125</v>
      </c>
      <c r="Q79" s="90">
        <v>97.515000000000001</v>
      </c>
      <c r="R79" s="9">
        <v>12</v>
      </c>
      <c r="S79" s="56">
        <f t="shared" si="23"/>
        <v>1.48</v>
      </c>
      <c r="T79" s="89">
        <f t="shared" ref="T79:T88" si="25">T78+S79</f>
        <v>4.18</v>
      </c>
      <c r="U79" s="14">
        <f t="shared" si="24"/>
        <v>25.13</v>
      </c>
      <c r="W79" s="123"/>
      <c r="X79" s="123"/>
    </row>
    <row r="80" spans="1:24" ht="16.5" customHeight="1">
      <c r="A80" s="22">
        <v>46059</v>
      </c>
      <c r="B80" s="7">
        <v>76</v>
      </c>
      <c r="C80" s="49">
        <v>0.27430555555555558</v>
      </c>
      <c r="D80" s="186">
        <f t="shared" si="18"/>
        <v>17.679166666666664</v>
      </c>
      <c r="E80" s="16">
        <v>27.169230769230737</v>
      </c>
      <c r="F80" s="16">
        <v>12.3900000000001</v>
      </c>
      <c r="G80" s="16">
        <v>52</v>
      </c>
      <c r="H80" s="10">
        <f t="shared" si="12"/>
        <v>5.37</v>
      </c>
      <c r="I80" s="20">
        <v>13.807692307692308</v>
      </c>
      <c r="J80" s="16">
        <v>2.5576923076923077E-2</v>
      </c>
      <c r="K80" s="16">
        <v>52</v>
      </c>
      <c r="L80" s="87">
        <f t="shared" si="11"/>
        <v>5.6316974358974368E-3</v>
      </c>
      <c r="M80" s="220">
        <f t="shared" si="17"/>
        <v>5.3643683025641025</v>
      </c>
      <c r="N80" s="187">
        <f t="shared" si="22"/>
        <v>26.663165325221446</v>
      </c>
      <c r="O80" s="88">
        <f t="shared" si="19"/>
        <v>99.9</v>
      </c>
      <c r="P80" s="20">
        <v>2.6466666666666669</v>
      </c>
      <c r="Q80" s="90">
        <v>99.460666666666668</v>
      </c>
      <c r="R80" s="9">
        <v>15</v>
      </c>
      <c r="S80" s="56">
        <f t="shared" si="23"/>
        <v>1.21</v>
      </c>
      <c r="T80" s="89">
        <f t="shared" si="25"/>
        <v>5.39</v>
      </c>
      <c r="U80" s="14">
        <f t="shared" si="24"/>
        <v>22.56</v>
      </c>
      <c r="W80" s="123"/>
      <c r="X80" s="123"/>
    </row>
    <row r="81" spans="1:24" ht="16.5" customHeight="1">
      <c r="A81" s="22">
        <v>46062</v>
      </c>
      <c r="B81" s="7">
        <v>77</v>
      </c>
      <c r="C81" s="49">
        <v>0.25625000000000003</v>
      </c>
      <c r="D81" s="186">
        <f t="shared" si="18"/>
        <v>17.935416666666665</v>
      </c>
      <c r="E81" s="16">
        <v>22.317460317460363</v>
      </c>
      <c r="F81" s="16">
        <v>12.488253968254048</v>
      </c>
      <c r="G81" s="16">
        <v>63</v>
      </c>
      <c r="H81" s="10">
        <f t="shared" si="12"/>
        <v>5.38</v>
      </c>
      <c r="I81" s="20">
        <v>13.476190476190476</v>
      </c>
      <c r="J81" s="16">
        <v>2.7619047619047619E-2</v>
      </c>
      <c r="K81" s="16">
        <v>63</v>
      </c>
      <c r="L81" s="87">
        <f t="shared" si="11"/>
        <v>7.1908952380952389E-3</v>
      </c>
      <c r="M81" s="220">
        <f t="shared" si="17"/>
        <v>5.3728091047619051</v>
      </c>
      <c r="N81" s="187">
        <f t="shared" si="22"/>
        <v>32.035974429983348</v>
      </c>
      <c r="O81" s="88">
        <f t="shared" si="19"/>
        <v>99.87</v>
      </c>
      <c r="P81" s="20">
        <v>2.5466666666666677</v>
      </c>
      <c r="Q81" s="16">
        <v>56.583388888889111</v>
      </c>
      <c r="R81" s="16">
        <v>30</v>
      </c>
      <c r="S81" s="56">
        <f t="shared" si="23"/>
        <v>1.33</v>
      </c>
      <c r="T81" s="89">
        <f t="shared" si="25"/>
        <v>6.72</v>
      </c>
      <c r="U81" s="14">
        <f t="shared" si="24"/>
        <v>24.75</v>
      </c>
      <c r="W81" s="123"/>
      <c r="X81" s="123"/>
    </row>
    <row r="82" spans="1:24" ht="16.5" customHeight="1">
      <c r="A82" s="22">
        <v>46063</v>
      </c>
      <c r="B82" s="7">
        <v>78</v>
      </c>
      <c r="C82" s="49">
        <v>0.15000000000000002</v>
      </c>
      <c r="D82" s="186">
        <f t="shared" si="18"/>
        <v>18.085416666666664</v>
      </c>
      <c r="E82" s="16">
        <v>24.038983050847495</v>
      </c>
      <c r="F82" s="16">
        <v>12.311355932203433</v>
      </c>
      <c r="G82" s="16">
        <v>59</v>
      </c>
      <c r="H82" s="10">
        <f t="shared" si="12"/>
        <v>5.35</v>
      </c>
      <c r="I82" s="20">
        <v>13.677966101694915</v>
      </c>
      <c r="J82" s="16">
        <v>2.1864406779661019E-2</v>
      </c>
      <c r="K82" s="16">
        <v>59</v>
      </c>
      <c r="L82" s="87">
        <f t="shared" si="11"/>
        <v>5.4110033898305092E-3</v>
      </c>
      <c r="M82" s="220">
        <f t="shared" si="17"/>
        <v>5.3445889966101694</v>
      </c>
      <c r="N82" s="187">
        <f t="shared" si="22"/>
        <v>37.380563426593518</v>
      </c>
      <c r="O82" s="88">
        <f t="shared" si="19"/>
        <v>99.9</v>
      </c>
      <c r="P82" s="20">
        <v>1.8076923076923077</v>
      </c>
      <c r="Q82" s="16">
        <v>79.864006410256323</v>
      </c>
      <c r="R82" s="16">
        <v>52</v>
      </c>
      <c r="S82" s="56">
        <f t="shared" si="23"/>
        <v>2.2999999999999998</v>
      </c>
      <c r="T82" s="89">
        <f t="shared" si="25"/>
        <v>9.02</v>
      </c>
      <c r="U82" s="14">
        <f t="shared" si="24"/>
        <v>43.03</v>
      </c>
      <c r="W82" s="123"/>
      <c r="X82" s="123"/>
    </row>
    <row r="83" spans="1:24" ht="16.5" customHeight="1">
      <c r="A83" s="22">
        <v>46064</v>
      </c>
      <c r="B83" s="7">
        <v>79</v>
      </c>
      <c r="C83" s="49">
        <v>0.26805555555555549</v>
      </c>
      <c r="D83" s="186">
        <f t="shared" si="18"/>
        <v>18.353472222222219</v>
      </c>
      <c r="E83" s="16">
        <v>23.09852941176468</v>
      </c>
      <c r="F83" s="16">
        <v>12.578529411764729</v>
      </c>
      <c r="G83" s="16">
        <v>68</v>
      </c>
      <c r="H83" s="10">
        <f t="shared" si="12"/>
        <v>6.06</v>
      </c>
      <c r="I83" s="20">
        <v>11.882352941176471</v>
      </c>
      <c r="J83" s="16">
        <v>3.9705882352941174E-2</v>
      </c>
      <c r="K83" s="16">
        <v>68</v>
      </c>
      <c r="L83" s="87">
        <f t="shared" si="11"/>
        <v>9.8385882352941181E-3</v>
      </c>
      <c r="M83" s="220">
        <f t="shared" si="17"/>
        <v>6.0501614117647051</v>
      </c>
      <c r="N83" s="187">
        <f t="shared" si="22"/>
        <v>43.430724838358223</v>
      </c>
      <c r="O83" s="88">
        <f t="shared" si="19"/>
        <v>99.84</v>
      </c>
      <c r="P83" s="20">
        <v>0.66730769230769205</v>
      </c>
      <c r="Q83" s="16">
        <v>55.612532051281974</v>
      </c>
      <c r="R83" s="9">
        <v>104</v>
      </c>
      <c r="S83" s="56">
        <f t="shared" si="23"/>
        <v>1.18</v>
      </c>
      <c r="T83" s="89">
        <f t="shared" si="25"/>
        <v>10.199999999999999</v>
      </c>
      <c r="U83" s="14">
        <f t="shared" si="24"/>
        <v>19.5</v>
      </c>
      <c r="W83" s="123"/>
      <c r="X83" s="123"/>
    </row>
    <row r="84" spans="1:24" ht="16.5" customHeight="1">
      <c r="A84" s="22">
        <v>46065</v>
      </c>
      <c r="B84" s="7">
        <v>80</v>
      </c>
      <c r="C84" s="49">
        <v>0.32430555555555557</v>
      </c>
      <c r="D84" s="186">
        <f t="shared" si="18"/>
        <v>18.677777777777774</v>
      </c>
      <c r="E84" s="16">
        <v>15.622448979591827</v>
      </c>
      <c r="F84" s="16">
        <v>14.550000000000081</v>
      </c>
      <c r="G84" s="16">
        <v>49</v>
      </c>
      <c r="H84" s="10">
        <f t="shared" si="12"/>
        <v>3.42</v>
      </c>
      <c r="I84" s="20">
        <v>17.489795918367346</v>
      </c>
      <c r="J84" s="16">
        <v>2.7551020408163263E-2</v>
      </c>
      <c r="K84" s="16">
        <v>49</v>
      </c>
      <c r="L84" s="87">
        <f t="shared" si="11"/>
        <v>7.2407755102040809E-3</v>
      </c>
      <c r="M84" s="220">
        <f t="shared" si="17"/>
        <v>3.412759224489796</v>
      </c>
      <c r="N84" s="187">
        <f t="shared" si="22"/>
        <v>46.84348406284802</v>
      </c>
      <c r="O84" s="88">
        <f t="shared" si="19"/>
        <v>99.79</v>
      </c>
      <c r="P84" s="20">
        <v>1.5452380952380893</v>
      </c>
      <c r="Q84" s="16">
        <v>47.983015873015866</v>
      </c>
      <c r="R84" s="9">
        <v>42</v>
      </c>
      <c r="S84" s="56">
        <f t="shared" si="23"/>
        <v>0.95</v>
      </c>
      <c r="T84" s="89">
        <f t="shared" si="25"/>
        <v>11.149999999999999</v>
      </c>
      <c r="U84" s="14">
        <f t="shared" si="24"/>
        <v>27.84</v>
      </c>
      <c r="W84" s="123"/>
      <c r="X84" s="123"/>
    </row>
    <row r="85" spans="1:24" ht="16.5" customHeight="1">
      <c r="A85" s="22">
        <v>46066</v>
      </c>
      <c r="B85" s="7">
        <v>81</v>
      </c>
      <c r="C85" s="49">
        <v>0.22777777777777775</v>
      </c>
      <c r="D85" s="186">
        <f t="shared" si="18"/>
        <v>18.905555555555551</v>
      </c>
      <c r="E85" s="16">
        <v>22.47391304347828</v>
      </c>
      <c r="F85" s="16">
        <v>11.72543478260865</v>
      </c>
      <c r="G85" s="16">
        <v>46</v>
      </c>
      <c r="H85" s="10">
        <f t="shared" si="12"/>
        <v>3.72</v>
      </c>
      <c r="I85" s="20">
        <v>14</v>
      </c>
      <c r="J85" s="16">
        <v>2.2826086956521739E-2</v>
      </c>
      <c r="K85" s="16">
        <v>46</v>
      </c>
      <c r="L85" s="87">
        <f t="shared" si="11"/>
        <v>4.5079999999999999E-3</v>
      </c>
      <c r="M85" s="220">
        <f t="shared" si="17"/>
        <v>3.7154920000000002</v>
      </c>
      <c r="N85" s="187">
        <f t="shared" si="22"/>
        <v>50.558976062848018</v>
      </c>
      <c r="O85" s="88">
        <f t="shared" si="19"/>
        <v>99.88</v>
      </c>
      <c r="P85" s="20">
        <v>1.2090909090909085</v>
      </c>
      <c r="Q85" s="16">
        <v>27.986060606060605</v>
      </c>
      <c r="R85" s="9">
        <v>44</v>
      </c>
      <c r="S85" s="56">
        <f t="shared" si="23"/>
        <v>0.46</v>
      </c>
      <c r="T85" s="89">
        <f t="shared" si="25"/>
        <v>11.61</v>
      </c>
      <c r="U85" s="14">
        <f t="shared" si="24"/>
        <v>12.38</v>
      </c>
      <c r="W85" s="123"/>
      <c r="X85" s="123"/>
    </row>
    <row r="86" spans="1:24" ht="16.5" customHeight="1">
      <c r="A86" s="22">
        <v>46069</v>
      </c>
      <c r="B86" s="7">
        <v>82</v>
      </c>
      <c r="C86" s="49">
        <v>0.26319444444444451</v>
      </c>
      <c r="D86" s="186">
        <f t="shared" si="18"/>
        <v>19.168749999999996</v>
      </c>
      <c r="E86" s="16">
        <v>21.260869565217362</v>
      </c>
      <c r="F86" s="16">
        <v>11.517101449275415</v>
      </c>
      <c r="G86" s="9">
        <v>69</v>
      </c>
      <c r="H86" s="10">
        <f t="shared" si="12"/>
        <v>5.18</v>
      </c>
      <c r="I86" s="20">
        <v>12.478260869565217</v>
      </c>
      <c r="J86" s="16">
        <v>5.2608695652173923E-2</v>
      </c>
      <c r="K86" s="9">
        <v>69</v>
      </c>
      <c r="L86" s="87">
        <f t="shared" ref="L86:L88" si="26">I86*J86*1.84*(K86/60)*0.01</f>
        <v>1.3890800000000002E-2</v>
      </c>
      <c r="M86" s="220">
        <f t="shared" si="17"/>
        <v>5.1661091999999993</v>
      </c>
      <c r="N86" s="187">
        <f t="shared" si="22"/>
        <v>55.725085262848019</v>
      </c>
      <c r="O86" s="88">
        <f t="shared" si="19"/>
        <v>99.73</v>
      </c>
      <c r="P86" s="20">
        <v>2.0003257328990238</v>
      </c>
      <c r="Q86" s="16">
        <v>33.547752442996746</v>
      </c>
      <c r="R86" s="50">
        <v>51.166666666666664</v>
      </c>
      <c r="S86" s="56">
        <f t="shared" si="23"/>
        <v>1.05</v>
      </c>
      <c r="T86" s="89">
        <f t="shared" si="25"/>
        <v>12.66</v>
      </c>
      <c r="U86" s="14">
        <f t="shared" si="24"/>
        <v>20.32</v>
      </c>
      <c r="W86" s="123"/>
      <c r="X86" s="123"/>
    </row>
    <row r="87" spans="1:24" ht="16.5" customHeight="1">
      <c r="A87" s="22">
        <v>46070</v>
      </c>
      <c r="B87" s="7">
        <v>83</v>
      </c>
      <c r="C87" s="49">
        <v>0.24722222222222223</v>
      </c>
      <c r="D87" s="186">
        <f t="shared" si="18"/>
        <v>19.415972222222219</v>
      </c>
      <c r="E87" s="16">
        <v>22.272463768116005</v>
      </c>
      <c r="F87" s="16">
        <v>11.372753623188384</v>
      </c>
      <c r="G87" s="16">
        <v>69</v>
      </c>
      <c r="H87" s="10">
        <f t="shared" si="12"/>
        <v>5.36</v>
      </c>
      <c r="I87" s="20">
        <v>12.478260869565217</v>
      </c>
      <c r="J87" s="16">
        <v>5.2608695652173923E-2</v>
      </c>
      <c r="K87" s="16">
        <v>69</v>
      </c>
      <c r="L87" s="87">
        <f t="shared" si="26"/>
        <v>1.3890800000000002E-2</v>
      </c>
      <c r="M87" s="220">
        <f t="shared" si="17"/>
        <v>5.3461091999999999</v>
      </c>
      <c r="N87" s="187">
        <f t="shared" si="22"/>
        <v>61.07119446284802</v>
      </c>
      <c r="O87" s="88">
        <f t="shared" si="19"/>
        <v>99.74</v>
      </c>
      <c r="P87" s="20">
        <v>2.168085106382978</v>
      </c>
      <c r="Q87" s="16">
        <v>57.502978723404254</v>
      </c>
      <c r="R87" s="50">
        <v>47</v>
      </c>
      <c r="S87" s="56">
        <f t="shared" si="23"/>
        <v>1.8</v>
      </c>
      <c r="T87" s="89">
        <f t="shared" si="25"/>
        <v>14.46</v>
      </c>
      <c r="U87" s="14">
        <f t="shared" si="24"/>
        <v>33.67</v>
      </c>
      <c r="W87" s="123"/>
      <c r="X87" s="123"/>
    </row>
    <row r="88" spans="1:24" ht="16.5" customHeight="1">
      <c r="A88" s="22">
        <v>46071</v>
      </c>
      <c r="B88" s="7">
        <v>84</v>
      </c>
      <c r="C88" s="49">
        <v>0.23472222222222222</v>
      </c>
      <c r="D88" s="186">
        <f t="shared" si="18"/>
        <v>19.65069444444444</v>
      </c>
      <c r="E88" s="16">
        <v>21.814285714285671</v>
      </c>
      <c r="F88" s="16">
        <v>11.474920634920689</v>
      </c>
      <c r="G88" s="16">
        <v>63</v>
      </c>
      <c r="H88" s="10">
        <f t="shared" si="12"/>
        <v>4.84</v>
      </c>
      <c r="I88" s="20">
        <v>12.952380952380953</v>
      </c>
      <c r="J88" s="16">
        <v>2.8412698412698414E-2</v>
      </c>
      <c r="K88" s="16">
        <v>63</v>
      </c>
      <c r="L88" s="87">
        <f t="shared" si="26"/>
        <v>7.1099936507936527E-3</v>
      </c>
      <c r="M88" s="220">
        <f t="shared" si="17"/>
        <v>4.8328900063492064</v>
      </c>
      <c r="N88" s="187">
        <f t="shared" si="22"/>
        <v>65.90408446919723</v>
      </c>
      <c r="O88" s="88">
        <f t="shared" si="19"/>
        <v>99.85</v>
      </c>
      <c r="P88" s="20">
        <v>2.2959999999999936</v>
      </c>
      <c r="Q88" s="16">
        <v>31.674066666666665</v>
      </c>
      <c r="R88" s="50">
        <v>25</v>
      </c>
      <c r="S88" s="56">
        <f t="shared" si="23"/>
        <v>0.56000000000000005</v>
      </c>
      <c r="T88" s="89">
        <f t="shared" si="25"/>
        <v>15.020000000000001</v>
      </c>
      <c r="U88" s="14">
        <f t="shared" si="24"/>
        <v>11.59</v>
      </c>
      <c r="W88" s="123"/>
      <c r="X88" s="123"/>
    </row>
    <row r="89" spans="1:24" ht="16.5" customHeight="1">
      <c r="A89" s="179">
        <v>46076</v>
      </c>
      <c r="B89" s="7">
        <v>85</v>
      </c>
      <c r="C89" s="49">
        <v>0.22916666666666663</v>
      </c>
      <c r="D89" s="186">
        <f t="shared" si="18"/>
        <v>19.879861111111108</v>
      </c>
      <c r="E89" s="188">
        <v>24.90000000000008</v>
      </c>
      <c r="F89" s="188">
        <v>11.772439024390208</v>
      </c>
      <c r="G89" s="188">
        <v>41</v>
      </c>
      <c r="H89" s="10">
        <f t="shared" ref="H89" si="27">ROUND(E89*F89*1.84*(G89/60)*0.01,2)</f>
        <v>3.69</v>
      </c>
      <c r="I89" s="189">
        <v>14.512195121951219</v>
      </c>
      <c r="J89" s="188">
        <v>7.170731707317074E-2</v>
      </c>
      <c r="K89" s="188">
        <v>41</v>
      </c>
      <c r="L89" s="87">
        <f t="shared" ref="L89" si="28">I89*J89*1.84*(K89/60)*0.01</f>
        <v>1.3084195121951222E-2</v>
      </c>
      <c r="M89" s="220">
        <f t="shared" ref="M89" si="29">H89-L89</f>
        <v>3.6769158048780488</v>
      </c>
      <c r="N89" s="220">
        <f>M89</f>
        <v>3.6769158048780488</v>
      </c>
      <c r="O89" s="88">
        <f t="shared" ref="O89" si="30">ROUND(M89/H89*100,2)</f>
        <v>99.65</v>
      </c>
      <c r="P89" s="189">
        <v>2.4837209302325571</v>
      </c>
      <c r="Q89" s="188">
        <v>22.486782945736451</v>
      </c>
      <c r="R89" s="188">
        <v>43</v>
      </c>
      <c r="S89" s="192">
        <v>1.1000000000000001</v>
      </c>
      <c r="T89" s="89">
        <f>S89</f>
        <v>1.1000000000000001</v>
      </c>
      <c r="U89" s="14">
        <f>IFERROR(ROUND(S89/M89 *100,2),0)</f>
        <v>29.92</v>
      </c>
      <c r="W89" s="123"/>
      <c r="X89" s="123"/>
    </row>
    <row r="90" spans="1:24" ht="16.5" customHeight="1">
      <c r="A90" s="179">
        <v>46077</v>
      </c>
      <c r="B90" s="7">
        <v>86</v>
      </c>
      <c r="C90" s="49">
        <v>0.27083333333333331</v>
      </c>
      <c r="D90" s="186">
        <f t="shared" si="18"/>
        <v>20.15069444444444</v>
      </c>
      <c r="E90" s="188">
        <v>20.498076923077001</v>
      </c>
      <c r="F90" s="188">
        <v>11.000961538461512</v>
      </c>
      <c r="G90" s="180">
        <v>52</v>
      </c>
      <c r="H90" s="10">
        <f t="shared" ref="H90:H106" si="31">ROUND(E90*F90*1.84*(G90/60)*0.01,2)</f>
        <v>3.6</v>
      </c>
      <c r="I90" s="189">
        <v>14.384615384615385</v>
      </c>
      <c r="J90" s="188">
        <v>7.8269230769230758E-2</v>
      </c>
      <c r="K90" s="180">
        <v>52</v>
      </c>
      <c r="L90" s="87">
        <f t="shared" ref="L90:L106" si="32">I90*J90*1.84*(K90/60)*0.01</f>
        <v>1.7953917948717948E-2</v>
      </c>
      <c r="M90" s="220">
        <f t="shared" ref="M90:M106" si="33">H90-L90</f>
        <v>3.5820460820512823</v>
      </c>
      <c r="N90" s="187">
        <f>N5+M90</f>
        <v>7.5473859220512818</v>
      </c>
      <c r="O90" s="88">
        <f t="shared" ref="O90:O106" si="34">ROUND(M90/H90*100,2)</f>
        <v>99.5</v>
      </c>
      <c r="P90" s="189">
        <v>0.96666666666666756</v>
      </c>
      <c r="Q90" s="188">
        <v>4.8850584795321614</v>
      </c>
      <c r="R90" s="181">
        <v>57</v>
      </c>
      <c r="S90" s="192">
        <v>0.35</v>
      </c>
      <c r="T90" s="89">
        <f>T5+S90</f>
        <v>0.55161057866666752</v>
      </c>
      <c r="U90" s="14">
        <v>4.7699999999999996</v>
      </c>
      <c r="X90" s="123"/>
    </row>
    <row r="91" spans="1:24" ht="16.5" customHeight="1">
      <c r="A91" s="179">
        <v>46078</v>
      </c>
      <c r="B91" s="7">
        <v>87</v>
      </c>
      <c r="C91" s="49">
        <v>0.29097222222222224</v>
      </c>
      <c r="D91" s="186">
        <f t="shared" si="18"/>
        <v>20.441666666666663</v>
      </c>
      <c r="E91" s="188">
        <v>17.328571428571404</v>
      </c>
      <c r="F91" s="188">
        <v>10.969047619047599</v>
      </c>
      <c r="G91" s="180">
        <v>42</v>
      </c>
      <c r="H91" s="10">
        <f t="shared" si="31"/>
        <v>2.4500000000000002</v>
      </c>
      <c r="I91" s="189">
        <v>15.071428571428571</v>
      </c>
      <c r="J91" s="188">
        <v>2.5238095238095243E-2</v>
      </c>
      <c r="K91" s="180">
        <v>42</v>
      </c>
      <c r="L91" s="87">
        <f t="shared" si="32"/>
        <v>4.8992190476190491E-3</v>
      </c>
      <c r="M91" s="220">
        <f t="shared" si="33"/>
        <v>2.445100780952381</v>
      </c>
      <c r="N91" s="187">
        <f t="shared" ref="N91:N106" si="35">N90+M91</f>
        <v>9.9924867030036637</v>
      </c>
      <c r="O91" s="88">
        <f t="shared" si="34"/>
        <v>99.8</v>
      </c>
      <c r="P91" s="189">
        <v>1.517786561264822</v>
      </c>
      <c r="Q91" s="188">
        <v>17.940513833992107</v>
      </c>
      <c r="R91" s="181">
        <v>42.166666666666664</v>
      </c>
      <c r="S91" s="192">
        <v>0.6</v>
      </c>
      <c r="T91" s="89">
        <f t="shared" ref="T91:T105" si="36">T90+S91</f>
        <v>1.1516105786666675</v>
      </c>
      <c r="U91" s="14">
        <f t="shared" ref="U91:U104" si="37">IFERROR(ROUND(S91/M91 *100,2),0)</f>
        <v>24.54</v>
      </c>
    </row>
    <row r="92" spans="1:24" ht="16.5" customHeight="1">
      <c r="A92" s="179">
        <v>46079</v>
      </c>
      <c r="B92" s="7">
        <v>88</v>
      </c>
      <c r="C92" s="49">
        <v>0.3652777777777777</v>
      </c>
      <c r="D92" s="186">
        <f t="shared" si="18"/>
        <v>20.80694444444444</v>
      </c>
      <c r="E92" s="188">
        <v>23.438095238095311</v>
      </c>
      <c r="F92" s="188">
        <v>19.261904761904766</v>
      </c>
      <c r="G92" s="180">
        <v>42</v>
      </c>
      <c r="H92" s="10">
        <f t="shared" si="31"/>
        <v>5.81</v>
      </c>
      <c r="I92" s="189">
        <v>15.714285714285714</v>
      </c>
      <c r="J92" s="188">
        <v>2.3809523809523808E-2</v>
      </c>
      <c r="K92" s="180">
        <v>42</v>
      </c>
      <c r="L92" s="87">
        <f t="shared" si="32"/>
        <v>4.8190476190476186E-3</v>
      </c>
      <c r="M92" s="220">
        <f t="shared" si="33"/>
        <v>5.8051809523809519</v>
      </c>
      <c r="N92" s="187">
        <f t="shared" si="35"/>
        <v>15.797667655384615</v>
      </c>
      <c r="O92" s="88">
        <f t="shared" si="34"/>
        <v>99.92</v>
      </c>
      <c r="P92" s="189">
        <v>1.103846153846149</v>
      </c>
      <c r="Q92" s="188">
        <v>25.20653846153845</v>
      </c>
      <c r="R92" s="181">
        <v>52</v>
      </c>
      <c r="S92" s="192">
        <v>1.32</v>
      </c>
      <c r="T92" s="89">
        <f t="shared" si="36"/>
        <v>2.4716105786666676</v>
      </c>
      <c r="U92" s="14">
        <f t="shared" si="37"/>
        <v>22.74</v>
      </c>
    </row>
    <row r="93" spans="1:24" ht="16.5" customHeight="1">
      <c r="A93" s="179">
        <v>46080</v>
      </c>
      <c r="B93" s="7">
        <v>89</v>
      </c>
      <c r="C93" s="49">
        <v>0.31666666666666665</v>
      </c>
      <c r="D93" s="186">
        <f t="shared" si="18"/>
        <v>21.123611111111106</v>
      </c>
      <c r="E93" s="188">
        <v>13.688372093023291</v>
      </c>
      <c r="F93" s="188">
        <v>11.988837209302313</v>
      </c>
      <c r="G93" s="180">
        <v>43</v>
      </c>
      <c r="H93" s="10">
        <v>2.0099999999999998</v>
      </c>
      <c r="I93" s="189">
        <v>12.186046511627907</v>
      </c>
      <c r="J93" s="188">
        <v>5.6279069767441861E-2</v>
      </c>
      <c r="K93" s="180">
        <v>43</v>
      </c>
      <c r="L93" s="87">
        <f t="shared" si="32"/>
        <v>9.0436713178294586E-3</v>
      </c>
      <c r="M93" s="220">
        <f t="shared" si="33"/>
        <v>2.0009563286821703</v>
      </c>
      <c r="N93" s="187">
        <f t="shared" si="35"/>
        <v>17.798623984066786</v>
      </c>
      <c r="O93" s="88">
        <f t="shared" si="34"/>
        <v>99.55</v>
      </c>
      <c r="P93" s="189">
        <v>1.2203389830508475</v>
      </c>
      <c r="Q93" s="188">
        <v>15.700734463276824</v>
      </c>
      <c r="R93" s="181">
        <v>59</v>
      </c>
      <c r="S93" s="192">
        <v>0.6</v>
      </c>
      <c r="T93" s="89">
        <f t="shared" si="36"/>
        <v>3.0716105786666676</v>
      </c>
      <c r="U93" s="14">
        <f t="shared" si="37"/>
        <v>29.99</v>
      </c>
    </row>
    <row r="94" spans="1:24" ht="16.5" customHeight="1">
      <c r="A94" s="179">
        <v>46083</v>
      </c>
      <c r="B94" s="7">
        <v>90</v>
      </c>
      <c r="C94" s="49">
        <v>0.30694444444444446</v>
      </c>
      <c r="D94" s="186">
        <f t="shared" si="18"/>
        <v>21.43055555555555</v>
      </c>
      <c r="E94" s="188">
        <v>23.94827586206895</v>
      </c>
      <c r="F94" s="188">
        <v>13.65172413793103</v>
      </c>
      <c r="G94" s="180">
        <v>29</v>
      </c>
      <c r="H94" s="10">
        <f t="shared" si="31"/>
        <v>2.91</v>
      </c>
      <c r="I94" s="189">
        <v>12.275862068965518</v>
      </c>
      <c r="J94" s="188">
        <v>9.2068965517241391E-2</v>
      </c>
      <c r="K94" s="180">
        <v>29</v>
      </c>
      <c r="L94" s="87">
        <f t="shared" si="32"/>
        <v>1.0051475862068969E-2</v>
      </c>
      <c r="M94" s="220">
        <f t="shared" si="33"/>
        <v>2.899948524137931</v>
      </c>
      <c r="N94" s="187">
        <f t="shared" si="35"/>
        <v>20.698572508204716</v>
      </c>
      <c r="O94" s="88">
        <f t="shared" si="34"/>
        <v>99.65</v>
      </c>
      <c r="P94" s="189">
        <v>0.98163934426229349</v>
      </c>
      <c r="Q94" s="188">
        <v>9.1590491803278997</v>
      </c>
      <c r="R94" s="181">
        <v>50.833333333333336</v>
      </c>
      <c r="S94" s="192">
        <v>0.7</v>
      </c>
      <c r="T94" s="89">
        <f t="shared" si="36"/>
        <v>3.7716105786666674</v>
      </c>
      <c r="U94" s="14">
        <f t="shared" si="37"/>
        <v>24.14</v>
      </c>
    </row>
    <row r="95" spans="1:24" ht="16.5" customHeight="1">
      <c r="A95" s="179">
        <v>46085</v>
      </c>
      <c r="B95" s="7">
        <v>91</v>
      </c>
      <c r="C95" s="49">
        <v>0.31597222222222227</v>
      </c>
      <c r="D95" s="186">
        <f t="shared" si="18"/>
        <v>21.746527777777771</v>
      </c>
      <c r="E95" s="188">
        <v>17.84999999999998</v>
      </c>
      <c r="F95" s="188">
        <v>14.334999999999948</v>
      </c>
      <c r="G95" s="180">
        <v>22</v>
      </c>
      <c r="H95" s="10">
        <f t="shared" si="31"/>
        <v>1.73</v>
      </c>
      <c r="I95" s="189">
        <v>15.454545454545455</v>
      </c>
      <c r="J95" s="188">
        <v>0.10454545454545454</v>
      </c>
      <c r="K95" s="180">
        <v>22</v>
      </c>
      <c r="L95" s="87">
        <f t="shared" si="32"/>
        <v>1.090060606060606E-2</v>
      </c>
      <c r="M95" s="220">
        <f t="shared" si="33"/>
        <v>1.7190993939393939</v>
      </c>
      <c r="N95" s="187">
        <f t="shared" si="35"/>
        <v>22.417671902144111</v>
      </c>
      <c r="O95" s="88">
        <f t="shared" si="34"/>
        <v>99.37</v>
      </c>
      <c r="P95" s="189">
        <v>2.4016666666666664</v>
      </c>
      <c r="Q95" s="188">
        <v>54.160944444444482</v>
      </c>
      <c r="R95" s="181">
        <v>60</v>
      </c>
      <c r="S95" s="192">
        <v>2.5</v>
      </c>
      <c r="T95" s="89">
        <f t="shared" si="36"/>
        <v>6.2716105786666674</v>
      </c>
      <c r="U95" s="14">
        <f t="shared" si="37"/>
        <v>145.41999999999999</v>
      </c>
    </row>
    <row r="96" spans="1:24" ht="16.5" customHeight="1">
      <c r="A96" s="179">
        <v>46086</v>
      </c>
      <c r="B96" s="7">
        <v>92</v>
      </c>
      <c r="C96" s="49">
        <v>0.27847222222222223</v>
      </c>
      <c r="D96" s="186">
        <f t="shared" si="18"/>
        <v>22.024999999999995</v>
      </c>
      <c r="E96" s="188">
        <v>22.911538461538424</v>
      </c>
      <c r="F96" s="188">
        <v>14.148076923076914</v>
      </c>
      <c r="G96" s="180">
        <v>26</v>
      </c>
      <c r="H96" s="10">
        <f t="shared" si="31"/>
        <v>2.58</v>
      </c>
      <c r="I96" s="189">
        <v>14.538461538461538</v>
      </c>
      <c r="J96" s="188">
        <v>0.105</v>
      </c>
      <c r="K96" s="180">
        <v>26</v>
      </c>
      <c r="L96" s="87">
        <f t="shared" si="32"/>
        <v>1.2171600000000001E-2</v>
      </c>
      <c r="M96" s="220">
        <f t="shared" si="33"/>
        <v>2.5678284000000002</v>
      </c>
      <c r="N96" s="187">
        <f t="shared" si="35"/>
        <v>24.985500302144111</v>
      </c>
      <c r="O96" s="88">
        <f t="shared" si="34"/>
        <v>99.53</v>
      </c>
      <c r="P96" s="189">
        <v>0.99999999999999889</v>
      </c>
      <c r="Q96" s="188">
        <v>7.2979084967320276</v>
      </c>
      <c r="R96" s="181">
        <v>51</v>
      </c>
      <c r="S96" s="192">
        <v>0.5</v>
      </c>
      <c r="T96" s="89">
        <f t="shared" si="36"/>
        <v>6.7716105786666674</v>
      </c>
      <c r="U96" s="14">
        <f t="shared" si="37"/>
        <v>19.47</v>
      </c>
    </row>
    <row r="97" spans="1:28" ht="16.5" customHeight="1">
      <c r="A97" s="179">
        <v>46087</v>
      </c>
      <c r="B97" s="7">
        <v>93</v>
      </c>
      <c r="C97" s="49">
        <v>0.2729166666666667</v>
      </c>
      <c r="D97" s="186">
        <f t="shared" si="18"/>
        <v>22.297916666666662</v>
      </c>
      <c r="E97" s="188">
        <v>15.795833333333368</v>
      </c>
      <c r="F97" s="188">
        <v>13.433749999999996</v>
      </c>
      <c r="G97" s="180">
        <v>24</v>
      </c>
      <c r="H97" s="10">
        <f t="shared" si="31"/>
        <v>1.56</v>
      </c>
      <c r="I97" s="189">
        <v>15</v>
      </c>
      <c r="J97" s="188">
        <v>0.12749999999999997</v>
      </c>
      <c r="K97" s="180">
        <v>24</v>
      </c>
      <c r="L97" s="87">
        <f t="shared" si="32"/>
        <v>1.4076E-2</v>
      </c>
      <c r="M97" s="220">
        <f t="shared" si="33"/>
        <v>1.5459240000000001</v>
      </c>
      <c r="N97" s="187">
        <f t="shared" si="35"/>
        <v>26.53142430214411</v>
      </c>
      <c r="O97" s="88">
        <f t="shared" si="34"/>
        <v>99.1</v>
      </c>
      <c r="P97" s="189">
        <v>0.90465116279069779</v>
      </c>
      <c r="Q97" s="188">
        <v>2.621279069767442</v>
      </c>
      <c r="R97" s="181">
        <v>43</v>
      </c>
      <c r="S97" s="192">
        <v>0.04</v>
      </c>
      <c r="T97" s="89">
        <f t="shared" si="36"/>
        <v>6.8116105786666674</v>
      </c>
      <c r="U97" s="14">
        <f t="shared" si="37"/>
        <v>2.59</v>
      </c>
    </row>
    <row r="98" spans="1:28" ht="16.5" customHeight="1">
      <c r="A98" s="179">
        <v>46090</v>
      </c>
      <c r="B98" s="7">
        <v>94</v>
      </c>
      <c r="C98" s="49">
        <v>0.3263888888888889</v>
      </c>
      <c r="D98" s="186">
        <f t="shared" si="18"/>
        <v>22.624305555555551</v>
      </c>
      <c r="E98" s="16">
        <v>24.5</v>
      </c>
      <c r="F98" s="16">
        <v>14.001304347826096</v>
      </c>
      <c r="G98" s="9">
        <v>23</v>
      </c>
      <c r="H98" s="10">
        <f t="shared" si="31"/>
        <v>2.42</v>
      </c>
      <c r="I98" s="20">
        <v>18</v>
      </c>
      <c r="J98" s="16">
        <v>0.15695652173913049</v>
      </c>
      <c r="K98" s="9">
        <v>23</v>
      </c>
      <c r="L98" s="87">
        <f t="shared" si="32"/>
        <v>1.9927200000000009E-2</v>
      </c>
      <c r="M98" s="220">
        <f t="shared" si="33"/>
        <v>2.4000727999999998</v>
      </c>
      <c r="N98" s="187">
        <f t="shared" si="35"/>
        <v>28.93149710214411</v>
      </c>
      <c r="O98" s="88">
        <f t="shared" si="34"/>
        <v>99.18</v>
      </c>
      <c r="P98" s="20">
        <v>0.54835164835164785</v>
      </c>
      <c r="Q98" s="16">
        <v>41.742307692307719</v>
      </c>
      <c r="R98" s="50">
        <v>91</v>
      </c>
      <c r="S98" s="56">
        <v>0.83</v>
      </c>
      <c r="T98" s="89">
        <f t="shared" si="36"/>
        <v>7.6416105786666675</v>
      </c>
      <c r="U98" s="14">
        <f t="shared" si="37"/>
        <v>34.58</v>
      </c>
    </row>
    <row r="99" spans="1:28" ht="16.5" customHeight="1">
      <c r="A99" s="179">
        <v>46091</v>
      </c>
      <c r="B99" s="7">
        <v>95</v>
      </c>
      <c r="C99" s="49">
        <v>0.28541666666666671</v>
      </c>
      <c r="D99" s="186">
        <f t="shared" si="18"/>
        <v>22.909722222222218</v>
      </c>
      <c r="E99" s="16">
        <v>24.194999999999951</v>
      </c>
      <c r="F99" s="16">
        <v>13.953000000000008</v>
      </c>
      <c r="G99" s="9">
        <v>20</v>
      </c>
      <c r="H99" s="10">
        <f t="shared" si="31"/>
        <v>2.0699999999999998</v>
      </c>
      <c r="I99" s="20">
        <v>18</v>
      </c>
      <c r="J99" s="16">
        <v>0.154</v>
      </c>
      <c r="K99" s="9">
        <v>20</v>
      </c>
      <c r="L99" s="87">
        <f t="shared" si="32"/>
        <v>1.7001599999999999E-2</v>
      </c>
      <c r="M99" s="220">
        <f t="shared" si="33"/>
        <v>2.0529983999999999</v>
      </c>
      <c r="N99" s="187">
        <f t="shared" si="35"/>
        <v>30.98449550214411</v>
      </c>
      <c r="O99" s="88">
        <f t="shared" si="34"/>
        <v>99.18</v>
      </c>
      <c r="P99" s="20">
        <v>2.0212121212121215</v>
      </c>
      <c r="Q99" s="16">
        <v>48.609040404040421</v>
      </c>
      <c r="R99" s="50">
        <v>33</v>
      </c>
      <c r="S99" s="56">
        <v>0.85</v>
      </c>
      <c r="T99" s="89">
        <f t="shared" si="36"/>
        <v>8.491610578666668</v>
      </c>
      <c r="U99" s="14">
        <f t="shared" si="37"/>
        <v>41.4</v>
      </c>
    </row>
    <row r="100" spans="1:28" ht="16.5" customHeight="1">
      <c r="A100" s="179">
        <v>46092</v>
      </c>
      <c r="B100" s="7">
        <v>96</v>
      </c>
      <c r="C100" s="49">
        <v>0.30763888888888885</v>
      </c>
      <c r="D100" s="186">
        <f t="shared" si="18"/>
        <v>23.217361111111106</v>
      </c>
      <c r="E100" s="16">
        <v>25.264705882352942</v>
      </c>
      <c r="F100" s="16">
        <v>14</v>
      </c>
      <c r="G100" s="9">
        <v>17</v>
      </c>
      <c r="H100" s="10">
        <f t="shared" si="31"/>
        <v>1.84</v>
      </c>
      <c r="I100" s="20">
        <v>16</v>
      </c>
      <c r="J100" s="16">
        <v>0.12588235294117647</v>
      </c>
      <c r="K100" s="9">
        <v>17</v>
      </c>
      <c r="L100" s="87">
        <f t="shared" si="32"/>
        <v>1.0500266666666667E-2</v>
      </c>
      <c r="M100" s="220">
        <f t="shared" si="33"/>
        <v>1.8294997333333334</v>
      </c>
      <c r="N100" s="187">
        <f t="shared" si="35"/>
        <v>32.813995235477442</v>
      </c>
      <c r="O100" s="88">
        <f t="shared" si="34"/>
        <v>99.43</v>
      </c>
      <c r="P100" s="20">
        <v>2.2874773139745894</v>
      </c>
      <c r="Q100" s="16">
        <v>42.147041742286788</v>
      </c>
      <c r="R100" s="50">
        <v>91.833333333333329</v>
      </c>
      <c r="S100" s="56">
        <v>2.81</v>
      </c>
      <c r="T100" s="89">
        <f t="shared" si="36"/>
        <v>11.301610578666669</v>
      </c>
      <c r="U100" s="14">
        <f t="shared" si="37"/>
        <v>153.59</v>
      </c>
    </row>
    <row r="101" spans="1:28" ht="16.5" customHeight="1">
      <c r="A101" s="179">
        <v>46093</v>
      </c>
      <c r="B101" s="7">
        <v>97</v>
      </c>
      <c r="C101" s="49">
        <v>0.27013888888888887</v>
      </c>
      <c r="D101" s="186">
        <f t="shared" si="18"/>
        <v>23.487499999999994</v>
      </c>
      <c r="E101" s="16">
        <v>22.906666666666677</v>
      </c>
      <c r="F101" s="16">
        <v>14.093333333333327</v>
      </c>
      <c r="G101" s="9">
        <v>15</v>
      </c>
      <c r="H101" s="10">
        <f t="shared" si="31"/>
        <v>1.49</v>
      </c>
      <c r="I101" s="20">
        <v>18</v>
      </c>
      <c r="J101" s="16">
        <v>0.14399999999999996</v>
      </c>
      <c r="K101" s="9">
        <v>15</v>
      </c>
      <c r="L101" s="87">
        <f t="shared" si="32"/>
        <v>1.1923199999999997E-2</v>
      </c>
      <c r="M101" s="220">
        <f t="shared" si="33"/>
        <v>1.4780768</v>
      </c>
      <c r="N101" s="187">
        <f t="shared" si="35"/>
        <v>34.292072035477439</v>
      </c>
      <c r="O101" s="88">
        <f t="shared" si="34"/>
        <v>99.2</v>
      </c>
      <c r="P101" s="20">
        <v>2.3217391304347825</v>
      </c>
      <c r="Q101" s="16">
        <v>65.015507246376842</v>
      </c>
      <c r="R101" s="50">
        <v>46</v>
      </c>
      <c r="S101" s="56">
        <v>2</v>
      </c>
      <c r="T101" s="89">
        <f t="shared" si="36"/>
        <v>13.301610578666669</v>
      </c>
      <c r="U101" s="14">
        <f t="shared" si="37"/>
        <v>135.31</v>
      </c>
    </row>
    <row r="102" spans="1:28" ht="16.5" customHeight="1">
      <c r="A102" s="179">
        <v>46094</v>
      </c>
      <c r="B102" s="7">
        <v>98</v>
      </c>
      <c r="C102" s="49">
        <v>0.33055555555555555</v>
      </c>
      <c r="D102" s="186">
        <f t="shared" si="18"/>
        <v>23.818055555555549</v>
      </c>
      <c r="E102" s="16">
        <v>24.66956521739127</v>
      </c>
      <c r="F102" s="16">
        <v>11.583913043478271</v>
      </c>
      <c r="G102" s="9">
        <v>23</v>
      </c>
      <c r="H102" s="10">
        <f t="shared" si="31"/>
        <v>2.02</v>
      </c>
      <c r="I102" s="20">
        <v>16</v>
      </c>
      <c r="J102" s="16">
        <v>0.16304347826086948</v>
      </c>
      <c r="K102" s="9">
        <v>23</v>
      </c>
      <c r="L102" s="87">
        <f t="shared" si="32"/>
        <v>1.8399999999999996E-2</v>
      </c>
      <c r="M102" s="220">
        <f t="shared" si="33"/>
        <v>2.0015999999999998</v>
      </c>
      <c r="N102" s="187">
        <f t="shared" si="35"/>
        <v>36.293672035477442</v>
      </c>
      <c r="O102" s="88">
        <f t="shared" si="34"/>
        <v>99.09</v>
      </c>
      <c r="P102" s="20">
        <v>2.1764705882352935</v>
      </c>
      <c r="Q102" s="16">
        <v>49.719019607843137</v>
      </c>
      <c r="R102" s="50">
        <v>119</v>
      </c>
      <c r="S102" s="56">
        <v>3.98</v>
      </c>
      <c r="T102" s="89">
        <f t="shared" si="36"/>
        <v>17.281610578666669</v>
      </c>
      <c r="U102" s="14">
        <f t="shared" si="37"/>
        <v>198.84</v>
      </c>
    </row>
    <row r="103" spans="1:28" ht="16.5" customHeight="1">
      <c r="A103" s="179">
        <v>46097</v>
      </c>
      <c r="B103" s="7">
        <v>99</v>
      </c>
      <c r="C103" s="49">
        <v>0.28124999999999994</v>
      </c>
      <c r="D103" s="186">
        <f t="shared" si="18"/>
        <v>24.099305555555549</v>
      </c>
      <c r="E103" s="16">
        <v>13.361538461538448</v>
      </c>
      <c r="F103" s="16">
        <v>13.692307692307704</v>
      </c>
      <c r="G103" s="9">
        <v>13</v>
      </c>
      <c r="H103" s="10">
        <f t="shared" si="31"/>
        <v>0.73</v>
      </c>
      <c r="I103" s="20">
        <v>18</v>
      </c>
      <c r="J103" s="16">
        <v>0.14846153846153845</v>
      </c>
      <c r="K103" s="9">
        <v>13</v>
      </c>
      <c r="L103" s="87">
        <f t="shared" si="32"/>
        <v>1.0653600000000001E-2</v>
      </c>
      <c r="M103" s="220">
        <f t="shared" si="33"/>
        <v>0.71934639999999994</v>
      </c>
      <c r="N103" s="187">
        <f t="shared" si="35"/>
        <v>37.013018435477441</v>
      </c>
      <c r="O103" s="88">
        <f t="shared" si="34"/>
        <v>98.54</v>
      </c>
      <c r="P103" s="20">
        <v>1.7214285714285669</v>
      </c>
      <c r="Q103" s="16">
        <v>5.4480952380952354</v>
      </c>
      <c r="R103" s="50">
        <v>28</v>
      </c>
      <c r="S103" s="56">
        <v>0.15</v>
      </c>
      <c r="T103" s="89">
        <f t="shared" si="36"/>
        <v>17.431610578666668</v>
      </c>
      <c r="U103" s="14">
        <f t="shared" si="37"/>
        <v>20.85</v>
      </c>
    </row>
    <row r="104" spans="1:28" ht="16.5" customHeight="1">
      <c r="A104" s="179">
        <v>46098</v>
      </c>
      <c r="B104" s="7">
        <v>100</v>
      </c>
      <c r="C104" s="49">
        <v>0.25972222222222219</v>
      </c>
      <c r="D104" s="186">
        <f t="shared" si="18"/>
        <v>24.359027777777772</v>
      </c>
      <c r="E104" s="16">
        <v>17.426315789473698</v>
      </c>
      <c r="F104" s="16">
        <v>13.799999999999972</v>
      </c>
      <c r="G104" s="9">
        <v>19</v>
      </c>
      <c r="H104" s="10">
        <f t="shared" si="31"/>
        <v>1.4</v>
      </c>
      <c r="I104" s="20">
        <v>16</v>
      </c>
      <c r="J104" s="16">
        <v>0.11947368421052629</v>
      </c>
      <c r="K104" s="9">
        <v>19</v>
      </c>
      <c r="L104" s="87">
        <f t="shared" si="32"/>
        <v>1.1138133333333331E-2</v>
      </c>
      <c r="M104" s="220">
        <f t="shared" si="33"/>
        <v>1.3888618666666666</v>
      </c>
      <c r="N104" s="187">
        <f t="shared" si="35"/>
        <v>38.401880302144107</v>
      </c>
      <c r="O104" s="88">
        <f t="shared" si="34"/>
        <v>99.2</v>
      </c>
      <c r="P104" s="20">
        <v>1.4000000000000001</v>
      </c>
      <c r="Q104" s="16">
        <v>3.9227419354838702</v>
      </c>
      <c r="R104" s="50">
        <v>31</v>
      </c>
      <c r="S104" s="56">
        <v>0.13</v>
      </c>
      <c r="T104" s="89">
        <f t="shared" si="36"/>
        <v>17.561610578666667</v>
      </c>
      <c r="U104" s="14">
        <f t="shared" si="37"/>
        <v>9.36</v>
      </c>
    </row>
    <row r="105" spans="1:28" ht="16.5" customHeight="1">
      <c r="A105" s="179">
        <v>46099</v>
      </c>
      <c r="B105" s="7">
        <v>101</v>
      </c>
      <c r="C105" s="49">
        <v>0.22638888888888892</v>
      </c>
      <c r="D105" s="186">
        <f t="shared" si="18"/>
        <v>24.58541666666666</v>
      </c>
      <c r="E105" s="16">
        <v>14.18571428571429</v>
      </c>
      <c r="F105" s="16">
        <v>13.878571428571409</v>
      </c>
      <c r="G105" s="11">
        <v>14</v>
      </c>
      <c r="H105" s="10">
        <f t="shared" si="31"/>
        <v>0.85</v>
      </c>
      <c r="I105" s="20">
        <v>16</v>
      </c>
      <c r="J105" s="16">
        <v>0.2</v>
      </c>
      <c r="K105" s="9">
        <v>14</v>
      </c>
      <c r="L105" s="87">
        <f>I105*J105*1.84*(K105/60)*0.01</f>
        <v>1.3738666666666668E-2</v>
      </c>
      <c r="M105" s="220">
        <f>H105-L105</f>
        <v>0.8362613333333333</v>
      </c>
      <c r="N105" s="187">
        <f t="shared" si="35"/>
        <v>39.23814163547744</v>
      </c>
      <c r="O105" s="88">
        <f>ROUND(M105/H105*100,2)</f>
        <v>98.38</v>
      </c>
      <c r="P105" s="20">
        <v>2.3923076923076949</v>
      </c>
      <c r="Q105" s="16">
        <v>8.2163461538461462</v>
      </c>
      <c r="R105" s="50">
        <v>26</v>
      </c>
      <c r="S105" s="56">
        <v>0.19</v>
      </c>
      <c r="T105" s="89">
        <f t="shared" si="36"/>
        <v>17.751610578666668</v>
      </c>
      <c r="U105" s="14">
        <f>IFERROR(ROUND(S105/M105 *100,2),0)</f>
        <v>22.72</v>
      </c>
    </row>
    <row r="106" spans="1:28" ht="16.5" customHeight="1">
      <c r="A106" s="179">
        <v>46100</v>
      </c>
      <c r="B106" s="7">
        <v>102</v>
      </c>
      <c r="C106" s="49">
        <v>0.30347222222222225</v>
      </c>
      <c r="D106" s="186">
        <f>D105+C106</f>
        <v>24.888888888888882</v>
      </c>
      <c r="E106" s="16">
        <v>13.866666666666685</v>
      </c>
      <c r="F106" s="9">
        <v>12.099999999999993</v>
      </c>
      <c r="G106" s="9">
        <v>18</v>
      </c>
      <c r="H106" s="10">
        <f t="shared" si="31"/>
        <v>0.93</v>
      </c>
      <c r="I106" s="11">
        <v>14</v>
      </c>
      <c r="J106" s="16">
        <v>6.4814814814814811E-2</v>
      </c>
      <c r="K106" s="9">
        <v>18</v>
      </c>
      <c r="L106" s="87">
        <f t="shared" si="32"/>
        <v>5.0088888888888882E-3</v>
      </c>
      <c r="M106" s="220">
        <f t="shared" si="33"/>
        <v>0.92499111111111121</v>
      </c>
      <c r="N106" s="187">
        <f t="shared" si="35"/>
        <v>40.163132746588552</v>
      </c>
      <c r="O106" s="88">
        <f t="shared" si="34"/>
        <v>99.46</v>
      </c>
      <c r="P106" s="20">
        <v>1.2687500000000003</v>
      </c>
      <c r="Q106" s="16">
        <v>15.782239583333336</v>
      </c>
      <c r="R106" s="50">
        <v>32</v>
      </c>
      <c r="S106" s="56">
        <v>0.01</v>
      </c>
      <c r="T106" s="89">
        <f>T105+S106</f>
        <v>17.761610578666669</v>
      </c>
      <c r="U106" s="14">
        <f>IFERROR(ROUND(S106/M106 *100,2),0)</f>
        <v>1.08</v>
      </c>
    </row>
    <row r="107" spans="1:28" ht="16.5" customHeight="1" thickBot="1">
      <c r="A107" s="36" t="s">
        <v>19</v>
      </c>
      <c r="B107" s="78"/>
      <c r="C107" s="37"/>
      <c r="D107" s="37">
        <f>D106</f>
        <v>24.888888888888882</v>
      </c>
      <c r="E107" s="38">
        <f>AVERAGE(E5:E106)</f>
        <v>20.527542845153363</v>
      </c>
      <c r="F107" s="78"/>
      <c r="G107" s="78"/>
      <c r="H107" s="38">
        <f>AVERAGE(H5:H106)</f>
        <v>4.5068717124315221</v>
      </c>
      <c r="I107" s="78"/>
      <c r="J107" s="78"/>
      <c r="K107" s="78"/>
      <c r="L107" s="80">
        <f>SUM(L5:L106)</f>
        <v>0.88766338324913663</v>
      </c>
      <c r="M107" s="38">
        <f>SUM(M5:M106)</f>
        <v>449.79950785990303</v>
      </c>
      <c r="N107" s="38">
        <f>N106</f>
        <v>40.163132746588552</v>
      </c>
      <c r="O107" s="38">
        <f>AVERAGE(O5:O106)</f>
        <v>99.538399999999982</v>
      </c>
      <c r="P107" s="78"/>
      <c r="Q107" s="78"/>
      <c r="R107" s="78"/>
      <c r="S107" s="78"/>
      <c r="T107" s="78">
        <f>T106</f>
        <v>17.761610578666669</v>
      </c>
      <c r="U107" s="38">
        <f>AVERAGE(U78:U106)</f>
        <v>41.41137931034482</v>
      </c>
    </row>
    <row r="108" spans="1:28" ht="16.5" customHeight="1" thickTop="1"/>
    <row r="109" spans="1:28" ht="16.5" customHeight="1"/>
    <row r="110" spans="1:28" ht="16.5" customHeight="1"/>
    <row r="111" spans="1:28" ht="16.5" customHeight="1">
      <c r="B111" s="82" t="s">
        <v>20</v>
      </c>
      <c r="L111" s="82" t="s">
        <v>21</v>
      </c>
      <c r="P111" s="82" t="s">
        <v>22</v>
      </c>
      <c r="AB111" s="40" t="s">
        <v>23</v>
      </c>
    </row>
    <row r="112" spans="1:28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spans="28:28" ht="16.5" customHeight="1"/>
    <row r="130" spans="28:28" ht="16.5" customHeight="1"/>
    <row r="131" spans="28:28" ht="16.5" customHeight="1"/>
    <row r="132" spans="28:28" ht="16.5" customHeight="1"/>
    <row r="133" spans="28:28" ht="16.5" customHeight="1"/>
    <row r="134" spans="28:28" ht="16.5" customHeight="1"/>
    <row r="135" spans="28:28" ht="16.5" customHeight="1"/>
    <row r="136" spans="28:28" ht="16.5" customHeight="1"/>
    <row r="137" spans="28:28" ht="16.5" customHeight="1"/>
    <row r="138" spans="28:28" ht="16.5" customHeight="1"/>
    <row r="139" spans="28:28" ht="16.5" customHeight="1"/>
    <row r="140" spans="28:28" ht="16.5" customHeight="1"/>
    <row r="141" spans="28:28" ht="16.5" customHeight="1"/>
    <row r="142" spans="28:28" ht="16.5" customHeight="1"/>
    <row r="143" spans="28:28" ht="16.5" customHeight="1">
      <c r="AB143" s="40" t="s">
        <v>26</v>
      </c>
    </row>
    <row r="144" spans="28:28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spans="28:28" ht="16.5" customHeight="1"/>
    <row r="162" spans="28:28" ht="16.5" customHeight="1"/>
    <row r="163" spans="28:28" ht="16.5" customHeight="1"/>
    <row r="164" spans="28:28" ht="16.5" customHeight="1"/>
    <row r="165" spans="28:28" ht="16.5" customHeight="1"/>
    <row r="166" spans="28:28" ht="16.5" customHeight="1"/>
    <row r="167" spans="28:28" ht="16.5" customHeight="1"/>
    <row r="168" spans="28:28" ht="16.5" customHeight="1"/>
    <row r="169" spans="28:28" ht="16.5" customHeight="1"/>
    <row r="170" spans="28:28" ht="16.5" customHeight="1">
      <c r="AB170" s="40" t="s">
        <v>27</v>
      </c>
    </row>
    <row r="171" spans="28:28" ht="16.5" customHeight="1"/>
    <row r="172" spans="28:28" ht="16.5" customHeight="1"/>
    <row r="173" spans="28:28" ht="16.5" customHeight="1"/>
    <row r="174" spans="28:28" ht="16.5" customHeight="1"/>
    <row r="175" spans="28:28" ht="16.5" customHeight="1"/>
    <row r="176" spans="28:28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spans="6:7" ht="16.5" customHeight="1"/>
    <row r="194" spans="6:7" ht="16.5" customHeight="1">
      <c r="F194" s="123" t="s">
        <v>56</v>
      </c>
      <c r="G194" s="123" t="s">
        <v>57</v>
      </c>
    </row>
    <row r="195" spans="6:7" ht="16.5" customHeight="1">
      <c r="F195" s="200">
        <f xml:space="preserve"> (0.0041*72 - 0.0815) * 24</f>
        <v>5.1288</v>
      </c>
      <c r="G195" s="199">
        <f xml:space="preserve"> (-0.0009*85 + 0.3715)*24</f>
        <v>7.08</v>
      </c>
    </row>
    <row r="196" spans="6:7" ht="16.5" customHeight="1">
      <c r="F196" s="200">
        <f xml:space="preserve"> (0.0041*84 - 0.0815) * 24</f>
        <v>6.3096000000000005</v>
      </c>
      <c r="G196" s="200">
        <f xml:space="preserve"> (-0.0009*102 + 0.3715)*24</f>
        <v>6.7127999999999997</v>
      </c>
    </row>
    <row r="197" spans="6:7" ht="16.5" customHeight="1"/>
    <row r="198" spans="6:7" ht="16.5" customHeight="1"/>
    <row r="199" spans="6:7" ht="16.5" customHeight="1"/>
    <row r="200" spans="6:7" ht="16.5" customHeight="1"/>
    <row r="201" spans="6:7" ht="16.5" customHeight="1"/>
    <row r="202" spans="6:7" ht="16.5" customHeight="1"/>
    <row r="203" spans="6:7" ht="16.5" customHeight="1"/>
    <row r="204" spans="6:7" ht="16.5" customHeight="1"/>
    <row r="205" spans="6:7" ht="16.5" customHeight="1"/>
    <row r="206" spans="6:7" ht="16.5" customHeight="1"/>
    <row r="207" spans="6:7" ht="16.5" customHeight="1"/>
    <row r="208" spans="6:7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</sheetData>
  <mergeCells count="7">
    <mergeCell ref="P3:U3"/>
    <mergeCell ref="B3:B4"/>
    <mergeCell ref="C3:C4"/>
    <mergeCell ref="D3:D4"/>
    <mergeCell ref="E3:H3"/>
    <mergeCell ref="I3:L3"/>
    <mergeCell ref="M3:O3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2DC0-2E85-44C0-B0C2-4371DCAD1BC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BEDB-1DE1-450F-9A1D-25418BF0A73C}">
  <dimension ref="A1:BP112"/>
  <sheetViews>
    <sheetView tabSelected="1" topLeftCell="C16" zoomScale="22" zoomScaleNormal="22" workbookViewId="0">
      <selection activeCell="CD108" sqref="CD108"/>
    </sheetView>
  </sheetViews>
  <sheetFormatPr defaultColWidth="9.109375" defaultRowHeight="18"/>
  <cols>
    <col min="1" max="1" width="12.44140625" style="149" customWidth="1"/>
    <col min="2" max="2" width="28.5546875" style="151" bestFit="1" customWidth="1"/>
    <col min="3" max="3" width="25.44140625" style="151" bestFit="1" customWidth="1"/>
    <col min="4" max="4" width="7.88671875" style="151" bestFit="1" customWidth="1"/>
    <col min="5" max="5" width="10.109375" style="151" bestFit="1" customWidth="1"/>
    <col min="6" max="6" width="11.33203125" style="151" bestFit="1" customWidth="1"/>
    <col min="7" max="7" width="10.109375" style="151" bestFit="1" customWidth="1"/>
    <col min="8" max="8" width="10.88671875" style="151" bestFit="1" customWidth="1"/>
    <col min="9" max="9" width="10.33203125" style="151" bestFit="1" customWidth="1"/>
    <col min="10" max="10" width="10.6640625" style="151" bestFit="1" customWidth="1"/>
    <col min="11" max="11" width="13.6640625" style="151" bestFit="1" customWidth="1"/>
    <col min="12" max="14" width="9.109375" style="151"/>
    <col min="15" max="15" width="28.5546875" style="151" bestFit="1" customWidth="1"/>
    <col min="16" max="16" width="25.44140625" style="151" bestFit="1" customWidth="1"/>
    <col min="17" max="17" width="7.88671875" style="151" bestFit="1" customWidth="1"/>
    <col min="18" max="18" width="10.109375" style="151" bestFit="1" customWidth="1"/>
    <col min="19" max="19" width="11.33203125" style="151" bestFit="1" customWidth="1"/>
    <col min="20" max="20" width="10.109375" style="151" bestFit="1" customWidth="1"/>
    <col min="21" max="21" width="10.88671875" style="151" bestFit="1" customWidth="1"/>
    <col min="22" max="22" width="10.33203125" style="151" bestFit="1" customWidth="1"/>
    <col min="23" max="23" width="10.6640625" style="151" bestFit="1" customWidth="1"/>
    <col min="24" max="27" width="9.109375" style="151"/>
    <col min="28" max="28" width="28.5546875" style="151" bestFit="1" customWidth="1"/>
    <col min="29" max="29" width="21.6640625" style="151" bestFit="1" customWidth="1"/>
    <col min="30" max="30" width="7.88671875" style="151" bestFit="1" customWidth="1"/>
    <col min="31" max="31" width="10.109375" style="151" bestFit="1" customWidth="1"/>
    <col min="32" max="32" width="11.33203125" style="151" bestFit="1" customWidth="1"/>
    <col min="33" max="33" width="10.109375" style="151" bestFit="1" customWidth="1"/>
    <col min="34" max="34" width="10.88671875" style="151" bestFit="1" customWidth="1"/>
    <col min="35" max="35" width="10.33203125" style="151" customWidth="1"/>
    <col min="36" max="36" width="10.6640625" style="151" bestFit="1" customWidth="1"/>
    <col min="37" max="37" width="13.6640625" style="151" bestFit="1" customWidth="1"/>
    <col min="38" max="42" width="9.109375" style="151"/>
    <col min="43" max="43" width="27.109375" style="151" bestFit="1" customWidth="1"/>
    <col min="44" max="44" width="22.109375" style="151" bestFit="1" customWidth="1"/>
    <col min="45" max="45" width="30.109375" style="151" bestFit="1" customWidth="1"/>
    <col min="46" max="46" width="6.5546875" style="151" bestFit="1" customWidth="1"/>
    <col min="47" max="47" width="8" style="151" bestFit="1" customWidth="1"/>
    <col min="48" max="48" width="9.109375" style="151" bestFit="1" customWidth="1"/>
    <col min="49" max="49" width="8.33203125" style="151" bestFit="1" customWidth="1"/>
    <col min="50" max="50" width="8.88671875" style="151" bestFit="1" customWidth="1"/>
    <col min="51" max="51" width="9.33203125" style="151" bestFit="1" customWidth="1"/>
    <col min="52" max="52" width="8.5546875" style="151" bestFit="1" customWidth="1"/>
    <col min="53" max="53" width="10.109375" style="151" customWidth="1"/>
    <col min="54" max="57" width="9.109375" style="151"/>
    <col min="58" max="59" width="22.109375" style="151" bestFit="1" customWidth="1"/>
    <col min="60" max="60" width="21.6640625" style="151" bestFit="1" customWidth="1"/>
    <col min="61" max="61" width="7.88671875" style="151" bestFit="1" customWidth="1"/>
    <col min="62" max="62" width="8" style="151" bestFit="1" customWidth="1"/>
    <col min="63" max="63" width="9.109375" style="151" bestFit="1" customWidth="1"/>
    <col min="64" max="64" width="8.33203125" style="151" bestFit="1" customWidth="1"/>
    <col min="65" max="65" width="8.88671875" style="151" bestFit="1" customWidth="1"/>
    <col min="66" max="66" width="9.33203125" style="151" bestFit="1" customWidth="1"/>
    <col min="67" max="67" width="8.5546875" style="151" bestFit="1" customWidth="1"/>
    <col min="68" max="68" width="10.33203125" style="151" bestFit="1" customWidth="1"/>
    <col min="69" max="16384" width="9.109375" style="151"/>
  </cols>
  <sheetData>
    <row r="1" spans="2:68">
      <c r="B1" s="150">
        <v>45905</v>
      </c>
      <c r="C1" s="163" t="s">
        <v>95</v>
      </c>
      <c r="O1" s="150">
        <v>45968</v>
      </c>
      <c r="AB1" s="150">
        <v>46009</v>
      </c>
    </row>
    <row r="2" spans="2:68" s="149" customFormat="1">
      <c r="B2" s="255" t="s">
        <v>96</v>
      </c>
      <c r="C2" s="152" t="s">
        <v>97</v>
      </c>
      <c r="D2" s="152" t="s">
        <v>98</v>
      </c>
      <c r="E2" s="152" t="s">
        <v>99</v>
      </c>
      <c r="F2" s="152" t="s">
        <v>100</v>
      </c>
      <c r="G2" s="152" t="s">
        <v>101</v>
      </c>
      <c r="H2" s="152" t="s">
        <v>102</v>
      </c>
      <c r="I2" s="152" t="s">
        <v>103</v>
      </c>
      <c r="J2" s="152" t="s">
        <v>104</v>
      </c>
      <c r="K2" s="152" t="s">
        <v>105</v>
      </c>
      <c r="O2" s="255" t="s">
        <v>96</v>
      </c>
      <c r="P2" s="152" t="s">
        <v>97</v>
      </c>
      <c r="Q2" s="152" t="s">
        <v>98</v>
      </c>
      <c r="R2" s="152" t="s">
        <v>99</v>
      </c>
      <c r="S2" s="152" t="s">
        <v>100</v>
      </c>
      <c r="T2" s="152" t="s">
        <v>101</v>
      </c>
      <c r="U2" s="152" t="s">
        <v>102</v>
      </c>
      <c r="V2" s="152" t="s">
        <v>103</v>
      </c>
      <c r="W2" s="152" t="s">
        <v>104</v>
      </c>
      <c r="AB2" s="255" t="s">
        <v>96</v>
      </c>
      <c r="AC2" s="152" t="s">
        <v>97</v>
      </c>
      <c r="AD2" s="152" t="s">
        <v>98</v>
      </c>
      <c r="AE2" s="152" t="s">
        <v>99</v>
      </c>
      <c r="AF2" s="152" t="s">
        <v>100</v>
      </c>
      <c r="AG2" s="152" t="s">
        <v>101</v>
      </c>
      <c r="AH2" s="152" t="s">
        <v>102</v>
      </c>
      <c r="AI2" s="152" t="s">
        <v>103</v>
      </c>
      <c r="AJ2" s="152" t="s">
        <v>104</v>
      </c>
      <c r="AK2" s="152" t="s">
        <v>105</v>
      </c>
      <c r="AR2" s="255" t="s">
        <v>96</v>
      </c>
      <c r="AS2" s="152" t="s">
        <v>97</v>
      </c>
      <c r="AT2" s="152" t="s">
        <v>98</v>
      </c>
      <c r="AU2" s="152" t="s">
        <v>99</v>
      </c>
      <c r="AV2" s="152" t="s">
        <v>100</v>
      </c>
      <c r="AW2" s="152" t="s">
        <v>101</v>
      </c>
      <c r="AX2" s="152" t="s">
        <v>102</v>
      </c>
      <c r="AY2" s="152" t="s">
        <v>103</v>
      </c>
      <c r="AZ2" s="152" t="s">
        <v>104</v>
      </c>
      <c r="BA2" s="152" t="s">
        <v>105</v>
      </c>
      <c r="BG2" s="255" t="s">
        <v>96</v>
      </c>
      <c r="BH2" s="152" t="s">
        <v>97</v>
      </c>
      <c r="BI2" s="152" t="s">
        <v>98</v>
      </c>
      <c r="BJ2" s="152" t="s">
        <v>99</v>
      </c>
      <c r="BK2" s="152" t="s">
        <v>100</v>
      </c>
      <c r="BL2" s="152" t="s">
        <v>101</v>
      </c>
      <c r="BM2" s="152" t="s">
        <v>102</v>
      </c>
      <c r="BN2" s="152" t="s">
        <v>103</v>
      </c>
      <c r="BO2" s="152" t="s">
        <v>104</v>
      </c>
      <c r="BP2" s="152" t="s">
        <v>105</v>
      </c>
    </row>
    <row r="3" spans="2:68">
      <c r="B3" s="255"/>
      <c r="C3" s="153">
        <v>45905.418240740742</v>
      </c>
      <c r="D3" s="154">
        <v>5.94</v>
      </c>
      <c r="E3" s="155">
        <v>0</v>
      </c>
      <c r="F3" s="156">
        <v>38</v>
      </c>
      <c r="G3" s="155">
        <v>38</v>
      </c>
      <c r="H3" s="156">
        <v>0</v>
      </c>
      <c r="I3" s="154">
        <v>16.64</v>
      </c>
      <c r="J3" s="155">
        <v>0</v>
      </c>
      <c r="K3" s="256">
        <v>0.35</v>
      </c>
      <c r="O3" s="255"/>
      <c r="P3" s="153">
        <v>45968.517442129632</v>
      </c>
      <c r="Q3" s="154">
        <v>5.42</v>
      </c>
      <c r="R3" s="155">
        <v>0</v>
      </c>
      <c r="S3" s="156">
        <v>42</v>
      </c>
      <c r="T3" s="155">
        <v>42</v>
      </c>
      <c r="U3" s="156">
        <v>0</v>
      </c>
      <c r="V3" s="154">
        <v>14.29</v>
      </c>
      <c r="W3" s="155">
        <v>0</v>
      </c>
      <c r="AB3" s="255"/>
      <c r="AC3" s="157">
        <v>46009.462500000001</v>
      </c>
      <c r="AD3" s="154">
        <v>4.59</v>
      </c>
      <c r="AE3" s="155">
        <v>0</v>
      </c>
      <c r="AF3" s="156">
        <v>44.4</v>
      </c>
      <c r="AG3" s="155">
        <v>44</v>
      </c>
      <c r="AH3" s="156">
        <v>0.4</v>
      </c>
      <c r="AI3" s="154">
        <v>19.23</v>
      </c>
      <c r="AJ3" s="155">
        <v>0</v>
      </c>
      <c r="AK3" s="249">
        <v>4.96</v>
      </c>
      <c r="AR3" s="255"/>
      <c r="AS3" s="157">
        <v>46065.463194444441</v>
      </c>
      <c r="AT3" s="154">
        <v>4.59</v>
      </c>
      <c r="AU3" s="154">
        <v>0</v>
      </c>
      <c r="AV3" s="154">
        <v>4.53</v>
      </c>
      <c r="AW3" s="154">
        <v>45</v>
      </c>
      <c r="AX3" s="156">
        <v>0.6</v>
      </c>
      <c r="AY3" s="154">
        <v>14.66</v>
      </c>
      <c r="AZ3" s="155">
        <v>0</v>
      </c>
      <c r="BA3" s="249">
        <v>5.58</v>
      </c>
      <c r="BG3" s="255"/>
      <c r="BH3" s="157">
        <v>46079.475694444445</v>
      </c>
      <c r="BI3" s="154">
        <v>4.28</v>
      </c>
      <c r="BJ3" s="154">
        <v>0</v>
      </c>
      <c r="BK3" s="154">
        <v>44.2</v>
      </c>
      <c r="BL3" s="154">
        <v>44</v>
      </c>
      <c r="BM3" s="156">
        <v>0.3</v>
      </c>
      <c r="BN3" s="154">
        <v>14.16</v>
      </c>
      <c r="BO3" s="155">
        <v>0</v>
      </c>
      <c r="BP3" s="249">
        <v>5.21</v>
      </c>
    </row>
    <row r="4" spans="2:68">
      <c r="B4" s="255"/>
      <c r="C4" s="153">
        <v>45905.418935185182</v>
      </c>
      <c r="D4" s="154">
        <v>5.75</v>
      </c>
      <c r="E4" s="155">
        <v>0</v>
      </c>
      <c r="F4" s="156">
        <v>37.6</v>
      </c>
      <c r="G4" s="155">
        <v>38</v>
      </c>
      <c r="H4" s="156">
        <v>0</v>
      </c>
      <c r="I4" s="154">
        <v>17.02</v>
      </c>
      <c r="J4" s="155">
        <v>0</v>
      </c>
      <c r="K4" s="257"/>
      <c r="O4" s="255"/>
      <c r="P4" s="153">
        <v>45968.518136574072</v>
      </c>
      <c r="Q4" s="154">
        <v>5.42</v>
      </c>
      <c r="R4" s="155">
        <v>0</v>
      </c>
      <c r="S4" s="156">
        <v>42.5</v>
      </c>
      <c r="T4" s="155">
        <v>42</v>
      </c>
      <c r="U4" s="156">
        <v>0</v>
      </c>
      <c r="V4" s="154">
        <v>14.4</v>
      </c>
      <c r="W4" s="155">
        <v>0</v>
      </c>
      <c r="AB4" s="255"/>
      <c r="AC4" s="157">
        <v>46010.463194444441</v>
      </c>
      <c r="AD4" s="154">
        <v>4.54</v>
      </c>
      <c r="AE4" s="155">
        <v>0</v>
      </c>
      <c r="AF4" s="156">
        <v>44.4</v>
      </c>
      <c r="AG4" s="155">
        <v>44</v>
      </c>
      <c r="AH4" s="156">
        <v>0.4</v>
      </c>
      <c r="AI4" s="154">
        <v>19.3</v>
      </c>
      <c r="AJ4" s="155">
        <v>0</v>
      </c>
      <c r="AK4" s="250"/>
      <c r="AR4" s="255"/>
      <c r="AS4" s="157">
        <v>46065.463888888888</v>
      </c>
      <c r="AT4" s="154">
        <v>4.5</v>
      </c>
      <c r="AU4" s="154">
        <v>0</v>
      </c>
      <c r="AV4" s="154">
        <v>4.5599999999999996</v>
      </c>
      <c r="AW4" s="154">
        <v>45</v>
      </c>
      <c r="AX4" s="156">
        <v>0.7</v>
      </c>
      <c r="AY4" s="154">
        <v>14.66</v>
      </c>
      <c r="AZ4" s="155">
        <v>0</v>
      </c>
      <c r="BA4" s="250"/>
      <c r="BG4" s="255"/>
      <c r="BH4" s="157">
        <v>46079.476388888892</v>
      </c>
      <c r="BI4" s="154">
        <v>4.32</v>
      </c>
      <c r="BJ4" s="154">
        <v>0</v>
      </c>
      <c r="BK4" s="154">
        <v>44.2</v>
      </c>
      <c r="BL4" s="154">
        <v>44</v>
      </c>
      <c r="BM4" s="156">
        <v>0.4</v>
      </c>
      <c r="BN4" s="154">
        <v>14.15</v>
      </c>
      <c r="BO4" s="155">
        <v>0</v>
      </c>
      <c r="BP4" s="250"/>
    </row>
    <row r="5" spans="2:68">
      <c r="B5" s="255"/>
      <c r="C5" s="153">
        <v>45905.419629629629</v>
      </c>
      <c r="D5" s="154">
        <v>5.54</v>
      </c>
      <c r="E5" s="155">
        <v>0</v>
      </c>
      <c r="F5" s="156">
        <v>37.200000000000003</v>
      </c>
      <c r="G5" s="155">
        <v>37</v>
      </c>
      <c r="H5" s="156">
        <v>0</v>
      </c>
      <c r="I5" s="154">
        <v>17.39</v>
      </c>
      <c r="J5" s="155">
        <v>0</v>
      </c>
      <c r="K5" s="257"/>
      <c r="O5" s="255"/>
      <c r="P5" s="153">
        <v>45968.518831018519</v>
      </c>
      <c r="Q5" s="154">
        <v>5.57</v>
      </c>
      <c r="R5" s="155">
        <v>0</v>
      </c>
      <c r="S5" s="156">
        <v>43.3</v>
      </c>
      <c r="T5" s="155">
        <v>43</v>
      </c>
      <c r="U5" s="156">
        <v>0</v>
      </c>
      <c r="V5" s="154">
        <v>14.2</v>
      </c>
      <c r="W5" s="155">
        <v>0</v>
      </c>
      <c r="AB5" s="255"/>
      <c r="AC5" s="157">
        <v>46011.463888773149</v>
      </c>
      <c r="AD5" s="154">
        <v>4.41</v>
      </c>
      <c r="AE5" s="155">
        <v>0</v>
      </c>
      <c r="AF5" s="156">
        <v>44.3</v>
      </c>
      <c r="AG5" s="155">
        <v>44</v>
      </c>
      <c r="AH5" s="156">
        <v>0.3</v>
      </c>
      <c r="AI5" s="154">
        <v>19.5</v>
      </c>
      <c r="AJ5" s="155">
        <v>0</v>
      </c>
      <c r="AK5" s="250"/>
      <c r="AR5" s="255"/>
      <c r="AS5" s="157">
        <v>46065.464583275461</v>
      </c>
      <c r="AT5" s="154">
        <v>4.38</v>
      </c>
      <c r="AU5" s="154">
        <v>0</v>
      </c>
      <c r="AV5" s="154">
        <v>4.51</v>
      </c>
      <c r="AW5" s="154">
        <v>44</v>
      </c>
      <c r="AX5" s="156">
        <v>0.7</v>
      </c>
      <c r="AY5" s="154">
        <v>14.79</v>
      </c>
      <c r="AZ5" s="155">
        <v>0</v>
      </c>
      <c r="BA5" s="250"/>
      <c r="BG5" s="255"/>
      <c r="BH5" s="157">
        <v>46079.477083333331</v>
      </c>
      <c r="BI5" s="154">
        <v>4.46</v>
      </c>
      <c r="BJ5" s="154">
        <v>0</v>
      </c>
      <c r="BK5" s="154">
        <v>44.8</v>
      </c>
      <c r="BL5" s="154">
        <v>44</v>
      </c>
      <c r="BM5" s="156">
        <v>0.4</v>
      </c>
      <c r="BN5" s="154">
        <v>13.99</v>
      </c>
      <c r="BO5" s="155">
        <v>0</v>
      </c>
      <c r="BP5" s="250"/>
    </row>
    <row r="6" spans="2:68">
      <c r="B6" s="255"/>
      <c r="C6" s="153">
        <v>45905.420324074097</v>
      </c>
      <c r="D6" s="154">
        <v>5.48</v>
      </c>
      <c r="E6" s="155">
        <v>0</v>
      </c>
      <c r="F6" s="156">
        <v>37</v>
      </c>
      <c r="G6" s="155">
        <v>37</v>
      </c>
      <c r="H6" s="156">
        <v>0</v>
      </c>
      <c r="I6" s="154">
        <v>17.53</v>
      </c>
      <c r="J6" s="155">
        <v>0</v>
      </c>
      <c r="K6" s="257"/>
      <c r="O6" s="255"/>
      <c r="P6" s="153">
        <v>45968.519525462965</v>
      </c>
      <c r="Q6" s="154">
        <v>5.83</v>
      </c>
      <c r="R6" s="155">
        <v>0</v>
      </c>
      <c r="S6" s="156">
        <v>44.2</v>
      </c>
      <c r="T6" s="155">
        <v>44</v>
      </c>
      <c r="U6" s="156">
        <v>0</v>
      </c>
      <c r="V6" s="154">
        <v>13.8</v>
      </c>
      <c r="W6" s="155">
        <v>0</v>
      </c>
      <c r="AB6" s="255"/>
      <c r="AC6" s="157">
        <v>46012.464583159723</v>
      </c>
      <c r="AD6" s="154">
        <v>4.32</v>
      </c>
      <c r="AE6" s="155">
        <v>0</v>
      </c>
      <c r="AF6" s="156">
        <v>44.3</v>
      </c>
      <c r="AG6" s="155">
        <v>44</v>
      </c>
      <c r="AH6" s="156">
        <v>0.3</v>
      </c>
      <c r="AI6" s="154">
        <v>19.600000000000001</v>
      </c>
      <c r="AJ6" s="155">
        <v>0</v>
      </c>
      <c r="AK6" s="250"/>
      <c r="AR6" s="255"/>
      <c r="AS6" s="157">
        <v>46065.465277719908</v>
      </c>
      <c r="AT6" s="154">
        <v>4.5</v>
      </c>
      <c r="AU6" s="154">
        <v>0</v>
      </c>
      <c r="AV6" s="154">
        <v>4.58</v>
      </c>
      <c r="AW6" s="154">
        <v>45</v>
      </c>
      <c r="AX6" s="156">
        <v>0.7</v>
      </c>
      <c r="AY6" s="154">
        <v>14.54</v>
      </c>
      <c r="AZ6" s="155">
        <v>0</v>
      </c>
      <c r="BA6" s="250"/>
      <c r="BG6" s="255"/>
      <c r="BH6" s="157">
        <v>46079.477777777778</v>
      </c>
      <c r="BI6" s="154">
        <v>4.32</v>
      </c>
      <c r="BJ6" s="154">
        <v>0</v>
      </c>
      <c r="BK6" s="154">
        <v>44.3</v>
      </c>
      <c r="BL6" s="154">
        <v>44</v>
      </c>
      <c r="BM6" s="156">
        <v>0.4</v>
      </c>
      <c r="BN6" s="154">
        <v>14.16</v>
      </c>
      <c r="BO6" s="155">
        <v>0</v>
      </c>
      <c r="BP6" s="250"/>
    </row>
    <row r="7" spans="2:68">
      <c r="B7" s="255"/>
      <c r="C7" s="153">
        <v>45905.4210185185</v>
      </c>
      <c r="D7" s="154">
        <v>5.86</v>
      </c>
      <c r="E7" s="155">
        <v>0</v>
      </c>
      <c r="F7" s="156">
        <v>38.1</v>
      </c>
      <c r="G7" s="155">
        <v>38</v>
      </c>
      <c r="H7" s="156">
        <v>0</v>
      </c>
      <c r="I7" s="154">
        <v>16.940000000000001</v>
      </c>
      <c r="J7" s="155">
        <v>0</v>
      </c>
      <c r="K7" s="257"/>
      <c r="O7" s="255"/>
      <c r="P7" s="153">
        <v>45968.520219907405</v>
      </c>
      <c r="Q7" s="154">
        <v>5.7</v>
      </c>
      <c r="R7" s="155">
        <v>0</v>
      </c>
      <c r="S7" s="156">
        <v>44.5</v>
      </c>
      <c r="T7" s="155">
        <v>44</v>
      </c>
      <c r="U7" s="156">
        <v>0</v>
      </c>
      <c r="V7" s="154">
        <v>13.95</v>
      </c>
      <c r="W7" s="155">
        <v>0</v>
      </c>
      <c r="AB7" s="255"/>
      <c r="AC7" s="157">
        <v>46013.465277546296</v>
      </c>
      <c r="AD7" s="154">
        <v>4.18</v>
      </c>
      <c r="AE7" s="155">
        <v>0</v>
      </c>
      <c r="AF7" s="156">
        <v>44.5</v>
      </c>
      <c r="AG7" s="155">
        <v>44</v>
      </c>
      <c r="AH7" s="156">
        <v>0.5</v>
      </c>
      <c r="AI7" s="154">
        <v>19.739999999999998</v>
      </c>
      <c r="AJ7" s="155">
        <v>0</v>
      </c>
      <c r="AK7" s="250"/>
      <c r="AR7" s="255"/>
      <c r="AS7" s="157">
        <v>46065.465972164355</v>
      </c>
      <c r="AT7" s="154">
        <v>4.46</v>
      </c>
      <c r="AU7" s="154">
        <v>0</v>
      </c>
      <c r="AV7" s="154">
        <v>4.5999999999999996</v>
      </c>
      <c r="AW7" s="154">
        <v>45</v>
      </c>
      <c r="AX7" s="156">
        <v>0.7</v>
      </c>
      <c r="AY7" s="154">
        <v>14.6</v>
      </c>
      <c r="AZ7" s="155">
        <v>0</v>
      </c>
      <c r="BA7" s="250"/>
      <c r="BG7" s="255"/>
      <c r="BH7" s="157">
        <v>46079.478472222225</v>
      </c>
      <c r="BI7" s="154">
        <v>4.5599999999999996</v>
      </c>
      <c r="BJ7" s="154">
        <v>0</v>
      </c>
      <c r="BK7" s="154">
        <v>44.7</v>
      </c>
      <c r="BL7" s="154">
        <v>44</v>
      </c>
      <c r="BM7" s="156">
        <v>0.3</v>
      </c>
      <c r="BN7" s="154">
        <v>13.88</v>
      </c>
      <c r="BO7" s="155">
        <v>0</v>
      </c>
      <c r="BP7" s="250"/>
    </row>
    <row r="8" spans="2:68">
      <c r="B8" s="255"/>
      <c r="C8" s="153">
        <v>45905.421712962998</v>
      </c>
      <c r="D8" s="154">
        <v>6</v>
      </c>
      <c r="E8" s="155">
        <v>0</v>
      </c>
      <c r="F8" s="156">
        <v>38.5</v>
      </c>
      <c r="G8" s="155">
        <v>38</v>
      </c>
      <c r="H8" s="156">
        <v>0</v>
      </c>
      <c r="I8" s="154">
        <v>16.690000000000001</v>
      </c>
      <c r="J8" s="155">
        <v>0</v>
      </c>
      <c r="K8" s="257"/>
      <c r="O8" s="255"/>
      <c r="P8" s="153">
        <v>45968.520914351851</v>
      </c>
      <c r="Q8" s="154">
        <v>5.68</v>
      </c>
      <c r="R8" s="155">
        <v>0</v>
      </c>
      <c r="S8" s="156">
        <v>44.5</v>
      </c>
      <c r="T8" s="155">
        <v>45</v>
      </c>
      <c r="U8" s="156">
        <v>0</v>
      </c>
      <c r="V8" s="154">
        <v>14.03</v>
      </c>
      <c r="W8" s="155">
        <v>0</v>
      </c>
      <c r="AB8" s="255"/>
      <c r="AC8" s="157">
        <v>46014.46597193287</v>
      </c>
      <c r="AD8" s="154">
        <v>4.32</v>
      </c>
      <c r="AE8" s="155">
        <v>0</v>
      </c>
      <c r="AF8" s="156">
        <v>45.5</v>
      </c>
      <c r="AG8" s="155">
        <v>45</v>
      </c>
      <c r="AH8" s="156">
        <v>0.5</v>
      </c>
      <c r="AI8" s="154">
        <v>19.399999999999999</v>
      </c>
      <c r="AJ8" s="155">
        <v>0</v>
      </c>
      <c r="AK8" s="250"/>
      <c r="AR8" s="255"/>
      <c r="AS8" s="157">
        <v>46065.466666608794</v>
      </c>
      <c r="AT8" s="154">
        <v>4.59</v>
      </c>
      <c r="AU8" s="154">
        <v>0</v>
      </c>
      <c r="AV8" s="154">
        <v>4.5999999999999996</v>
      </c>
      <c r="AW8" s="154">
        <v>45</v>
      </c>
      <c r="AX8" s="156">
        <v>0.7</v>
      </c>
      <c r="AY8" s="154">
        <v>14.45</v>
      </c>
      <c r="AZ8" s="155">
        <v>0</v>
      </c>
      <c r="BA8" s="250"/>
      <c r="BG8" s="255"/>
      <c r="BH8" s="157">
        <v>46079.479166666664</v>
      </c>
      <c r="BI8" s="154">
        <v>4.6399999999999997</v>
      </c>
      <c r="BJ8" s="154">
        <v>0</v>
      </c>
      <c r="BK8" s="154">
        <v>44.3</v>
      </c>
      <c r="BL8" s="154">
        <v>44</v>
      </c>
      <c r="BM8" s="156">
        <v>0.4</v>
      </c>
      <c r="BN8" s="154">
        <v>13.91</v>
      </c>
      <c r="BO8" s="155">
        <v>0</v>
      </c>
      <c r="BP8" s="250"/>
    </row>
    <row r="9" spans="2:68">
      <c r="B9" s="255"/>
      <c r="C9" s="153">
        <v>45905.422407407401</v>
      </c>
      <c r="D9" s="154">
        <v>5.84</v>
      </c>
      <c r="E9" s="155">
        <v>0</v>
      </c>
      <c r="F9" s="156">
        <v>37.9</v>
      </c>
      <c r="G9" s="155">
        <v>38</v>
      </c>
      <c r="H9" s="156">
        <v>0</v>
      </c>
      <c r="I9" s="154">
        <v>17.02</v>
      </c>
      <c r="J9" s="155">
        <v>0</v>
      </c>
      <c r="K9" s="257"/>
      <c r="O9" s="255"/>
      <c r="P9" s="153">
        <v>45968.521608796298</v>
      </c>
      <c r="Q9" s="154">
        <v>5.39</v>
      </c>
      <c r="R9" s="155">
        <v>0</v>
      </c>
      <c r="S9" s="156">
        <v>44.4</v>
      </c>
      <c r="T9" s="155">
        <v>44</v>
      </c>
      <c r="U9" s="156">
        <v>0</v>
      </c>
      <c r="V9" s="154">
        <v>14.25</v>
      </c>
      <c r="W9" s="155">
        <v>0</v>
      </c>
      <c r="AB9" s="255"/>
      <c r="AC9" s="157">
        <v>46015.466666319444</v>
      </c>
      <c r="AD9" s="154">
        <v>4.3099999999999996</v>
      </c>
      <c r="AE9" s="155">
        <v>0</v>
      </c>
      <c r="AF9" s="156">
        <v>45.4</v>
      </c>
      <c r="AG9" s="155">
        <v>45</v>
      </c>
      <c r="AH9" s="156">
        <v>0.4</v>
      </c>
      <c r="AI9" s="154">
        <v>19.48</v>
      </c>
      <c r="AJ9" s="155">
        <v>0</v>
      </c>
      <c r="AK9" s="250"/>
      <c r="AR9" s="255"/>
      <c r="AS9" s="157">
        <v>46065.467361053241</v>
      </c>
      <c r="AT9" s="154">
        <v>4.6900000000000004</v>
      </c>
      <c r="AU9" s="154">
        <v>0</v>
      </c>
      <c r="AV9" s="154">
        <v>4.63</v>
      </c>
      <c r="AW9" s="154">
        <v>46</v>
      </c>
      <c r="AX9" s="156">
        <v>0.7</v>
      </c>
      <c r="AY9" s="154">
        <v>14.32</v>
      </c>
      <c r="AZ9" s="155">
        <v>0</v>
      </c>
      <c r="BA9" s="250"/>
      <c r="BG9" s="255"/>
      <c r="BH9" s="157">
        <v>46079.479861111111</v>
      </c>
      <c r="BI9" s="154">
        <v>4.66</v>
      </c>
      <c r="BJ9" s="154">
        <v>0</v>
      </c>
      <c r="BK9" s="154">
        <v>43.5</v>
      </c>
      <c r="BL9" s="154">
        <v>43</v>
      </c>
      <c r="BM9" s="156">
        <v>0.4</v>
      </c>
      <c r="BN9" s="154">
        <v>14.05</v>
      </c>
      <c r="BO9" s="155">
        <v>0</v>
      </c>
      <c r="BP9" s="250"/>
    </row>
    <row r="10" spans="2:68">
      <c r="B10" s="255"/>
      <c r="C10" s="153">
        <v>45905.423101851797</v>
      </c>
      <c r="D10" s="154">
        <v>5.73</v>
      </c>
      <c r="E10" s="155">
        <v>0</v>
      </c>
      <c r="F10" s="156">
        <v>37</v>
      </c>
      <c r="G10" s="155">
        <v>37</v>
      </c>
      <c r="H10" s="156">
        <v>0</v>
      </c>
      <c r="I10" s="154">
        <v>17.350000000000001</v>
      </c>
      <c r="J10" s="155">
        <v>0</v>
      </c>
      <c r="K10" s="257"/>
      <c r="O10" s="255"/>
      <c r="P10" s="153">
        <v>45968.522303240738</v>
      </c>
      <c r="Q10" s="154">
        <v>5.29</v>
      </c>
      <c r="R10" s="155">
        <v>0</v>
      </c>
      <c r="S10" s="156">
        <v>44.6</v>
      </c>
      <c r="T10" s="155">
        <v>44</v>
      </c>
      <c r="U10" s="156">
        <v>0</v>
      </c>
      <c r="V10" s="154">
        <v>14.35</v>
      </c>
      <c r="W10" s="155">
        <v>0</v>
      </c>
      <c r="AB10" s="255"/>
      <c r="AC10" s="157">
        <v>46016.467360706018</v>
      </c>
      <c r="AD10" s="154">
        <v>4.0999999999999996</v>
      </c>
      <c r="AE10" s="155">
        <v>0</v>
      </c>
      <c r="AF10" s="156">
        <v>44.9</v>
      </c>
      <c r="AG10" s="155">
        <v>44</v>
      </c>
      <c r="AH10" s="156">
        <v>0.9</v>
      </c>
      <c r="AI10" s="154">
        <v>19.8</v>
      </c>
      <c r="AJ10" s="155">
        <v>0</v>
      </c>
      <c r="AK10" s="250"/>
      <c r="AR10" s="255"/>
      <c r="AS10" s="157">
        <v>46065.468055497688</v>
      </c>
      <c r="AT10" s="154">
        <v>4.6900000000000004</v>
      </c>
      <c r="AU10" s="154">
        <v>0</v>
      </c>
      <c r="AV10" s="154">
        <v>4.63</v>
      </c>
      <c r="AW10" s="154">
        <v>46</v>
      </c>
      <c r="AX10" s="156">
        <v>0.7</v>
      </c>
      <c r="AY10" s="154">
        <v>14.36</v>
      </c>
      <c r="AZ10" s="155">
        <v>0</v>
      </c>
      <c r="BA10" s="250"/>
      <c r="BG10" s="255"/>
      <c r="BH10" s="157">
        <v>46079.480555555558</v>
      </c>
      <c r="BI10" s="154">
        <v>4.63</v>
      </c>
      <c r="BJ10" s="154">
        <v>0</v>
      </c>
      <c r="BK10" s="154">
        <v>43.1</v>
      </c>
      <c r="BL10" s="154">
        <v>43</v>
      </c>
      <c r="BM10" s="156">
        <v>0.4</v>
      </c>
      <c r="BN10" s="154">
        <v>14.13</v>
      </c>
      <c r="BO10" s="155">
        <v>0</v>
      </c>
      <c r="BP10" s="250"/>
    </row>
    <row r="11" spans="2:68">
      <c r="B11" s="255"/>
      <c r="C11" s="153">
        <v>45905.423796296302</v>
      </c>
      <c r="D11" s="154">
        <v>5.64</v>
      </c>
      <c r="E11" s="155">
        <v>0</v>
      </c>
      <c r="F11" s="156">
        <v>36.700000000000003</v>
      </c>
      <c r="G11" s="155">
        <v>37</v>
      </c>
      <c r="H11" s="156">
        <v>0</v>
      </c>
      <c r="I11" s="154">
        <v>17.52</v>
      </c>
      <c r="J11" s="155">
        <v>0</v>
      </c>
      <c r="K11" s="257"/>
      <c r="O11" s="255"/>
      <c r="P11" s="153">
        <v>45968.522997685184</v>
      </c>
      <c r="Q11" s="154">
        <v>5.39</v>
      </c>
      <c r="R11" s="155">
        <v>0</v>
      </c>
      <c r="S11" s="156">
        <v>45.4</v>
      </c>
      <c r="T11" s="155">
        <v>45</v>
      </c>
      <c r="U11" s="156">
        <v>0</v>
      </c>
      <c r="V11" s="154">
        <v>14.21</v>
      </c>
      <c r="W11" s="155">
        <v>0</v>
      </c>
      <c r="AB11" s="255"/>
      <c r="AC11" s="157">
        <v>46017.468055092591</v>
      </c>
      <c r="AD11" s="154">
        <v>4.17</v>
      </c>
      <c r="AE11" s="155">
        <v>0</v>
      </c>
      <c r="AF11" s="156">
        <v>45.1</v>
      </c>
      <c r="AG11" s="155">
        <v>45</v>
      </c>
      <c r="AH11" s="156">
        <v>0.1</v>
      </c>
      <c r="AI11" s="154">
        <v>19.7</v>
      </c>
      <c r="AJ11" s="155">
        <v>0</v>
      </c>
      <c r="AK11" s="250"/>
      <c r="AR11" s="255"/>
      <c r="AS11" s="157">
        <v>46065.468749942127</v>
      </c>
      <c r="AT11" s="154">
        <v>4.6900000000000004</v>
      </c>
      <c r="AU11" s="154">
        <v>0</v>
      </c>
      <c r="AV11" s="154">
        <v>4.63</v>
      </c>
      <c r="AW11" s="154">
        <v>46</v>
      </c>
      <c r="AX11" s="156">
        <v>0.7</v>
      </c>
      <c r="AY11" s="154">
        <v>14.55</v>
      </c>
      <c r="AZ11" s="155">
        <v>0</v>
      </c>
      <c r="BA11" s="250"/>
      <c r="BG11" s="255"/>
      <c r="BH11" s="157">
        <v>46079.481249999997</v>
      </c>
      <c r="BI11" s="154">
        <v>4.5599999999999996</v>
      </c>
      <c r="BJ11" s="154">
        <v>0</v>
      </c>
      <c r="BK11" s="154">
        <v>42.8</v>
      </c>
      <c r="BL11" s="154">
        <v>42</v>
      </c>
      <c r="BM11" s="156">
        <v>0.4</v>
      </c>
      <c r="BN11" s="154">
        <v>14.29</v>
      </c>
      <c r="BO11" s="155">
        <v>0</v>
      </c>
      <c r="BP11" s="250"/>
    </row>
    <row r="12" spans="2:68">
      <c r="B12" s="255"/>
      <c r="C12" s="153">
        <v>45905.424490740697</v>
      </c>
      <c r="D12" s="154">
        <v>5.88</v>
      </c>
      <c r="E12" s="155">
        <v>0</v>
      </c>
      <c r="F12" s="156">
        <v>36.799999999999997</v>
      </c>
      <c r="G12" s="155">
        <v>37</v>
      </c>
      <c r="H12" s="156">
        <v>0</v>
      </c>
      <c r="I12" s="154">
        <v>17.22</v>
      </c>
      <c r="J12" s="155">
        <v>0</v>
      </c>
      <c r="K12" s="257"/>
      <c r="O12" s="255"/>
      <c r="P12" s="153">
        <v>45968.523692129631</v>
      </c>
      <c r="Q12" s="154">
        <v>5.44</v>
      </c>
      <c r="R12" s="155">
        <v>0</v>
      </c>
      <c r="S12" s="156">
        <v>46</v>
      </c>
      <c r="T12" s="155">
        <v>46</v>
      </c>
      <c r="U12" s="156">
        <v>0</v>
      </c>
      <c r="V12" s="154">
        <v>14.06</v>
      </c>
      <c r="W12" s="155">
        <v>0</v>
      </c>
      <c r="AB12" s="255"/>
      <c r="AC12" s="157">
        <v>46018.468749479165</v>
      </c>
      <c r="AD12" s="154">
        <v>4.0999999999999996</v>
      </c>
      <c r="AE12" s="155">
        <v>0</v>
      </c>
      <c r="AF12" s="156">
        <v>45.4</v>
      </c>
      <c r="AG12" s="155">
        <v>45</v>
      </c>
      <c r="AH12" s="156">
        <v>0.4</v>
      </c>
      <c r="AI12" s="154">
        <v>19.78</v>
      </c>
      <c r="AJ12" s="155">
        <v>0</v>
      </c>
      <c r="AK12" s="250"/>
      <c r="AR12" s="255"/>
      <c r="AS12" s="157">
        <v>46065.469444386574</v>
      </c>
      <c r="AT12" s="154">
        <v>4.45</v>
      </c>
      <c r="AU12" s="154">
        <v>0</v>
      </c>
      <c r="AV12" s="154">
        <v>4.63</v>
      </c>
      <c r="AW12" s="154">
        <v>46</v>
      </c>
      <c r="AX12" s="156">
        <v>0.7</v>
      </c>
      <c r="AY12" s="154">
        <v>14.55</v>
      </c>
      <c r="AZ12" s="155">
        <v>0</v>
      </c>
      <c r="BA12" s="250"/>
      <c r="BG12" s="255"/>
      <c r="BH12" s="157">
        <v>46079.481944444444</v>
      </c>
      <c r="BI12" s="154">
        <v>4.5</v>
      </c>
      <c r="BJ12" s="154">
        <v>0</v>
      </c>
      <c r="BK12" s="154">
        <v>42.8</v>
      </c>
      <c r="BL12" s="154">
        <v>42</v>
      </c>
      <c r="BM12" s="156">
        <v>0.4</v>
      </c>
      <c r="BN12" s="154">
        <v>14.33</v>
      </c>
      <c r="BO12" s="155">
        <v>0</v>
      </c>
      <c r="BP12" s="250"/>
    </row>
    <row r="13" spans="2:68">
      <c r="B13" s="152" t="s">
        <v>106</v>
      </c>
      <c r="C13" s="153"/>
      <c r="D13" s="158">
        <f>AVERAGE(D3:D12)</f>
        <v>5.766</v>
      </c>
      <c r="E13" s="159">
        <f t="shared" ref="E13:J13" si="0">AVERAGE(E3:E12)</f>
        <v>0</v>
      </c>
      <c r="F13" s="160">
        <f t="shared" si="0"/>
        <v>37.480000000000004</v>
      </c>
      <c r="G13" s="159">
        <f t="shared" si="0"/>
        <v>37.5</v>
      </c>
      <c r="H13" s="159">
        <f t="shared" si="0"/>
        <v>0</v>
      </c>
      <c r="I13" s="158">
        <f t="shared" si="0"/>
        <v>17.131999999999998</v>
      </c>
      <c r="J13" s="159">
        <f t="shared" si="0"/>
        <v>0</v>
      </c>
      <c r="K13" s="258"/>
      <c r="O13" s="152" t="s">
        <v>106</v>
      </c>
      <c r="P13" s="153"/>
      <c r="Q13" s="158">
        <f>AVERAGE(Q3:Q12)</f>
        <v>5.5129999999999999</v>
      </c>
      <c r="R13" s="159">
        <f t="shared" ref="R13:W13" si="1">AVERAGE(R3:R12)</f>
        <v>0</v>
      </c>
      <c r="S13" s="160">
        <f t="shared" si="1"/>
        <v>44.14</v>
      </c>
      <c r="T13" s="161">
        <f t="shared" si="1"/>
        <v>43.9</v>
      </c>
      <c r="U13" s="159">
        <f t="shared" si="1"/>
        <v>0</v>
      </c>
      <c r="V13" s="158">
        <f t="shared" si="1"/>
        <v>14.154</v>
      </c>
      <c r="W13" s="159">
        <f t="shared" si="1"/>
        <v>0</v>
      </c>
      <c r="AB13" s="152" t="s">
        <v>106</v>
      </c>
      <c r="AC13" s="153"/>
      <c r="AD13" s="158">
        <f>AVERAGE(AD3:AD12)</f>
        <v>4.3040000000000003</v>
      </c>
      <c r="AE13" s="159">
        <f t="shared" ref="AE13:AJ13" si="2">AVERAGE(AE3:AE12)</f>
        <v>0</v>
      </c>
      <c r="AF13" s="160">
        <f t="shared" si="2"/>
        <v>44.819999999999993</v>
      </c>
      <c r="AG13" s="159">
        <f t="shared" si="2"/>
        <v>44.4</v>
      </c>
      <c r="AH13" s="160">
        <f t="shared" si="2"/>
        <v>0.42000000000000004</v>
      </c>
      <c r="AI13" s="158">
        <f t="shared" si="2"/>
        <v>19.552999999999997</v>
      </c>
      <c r="AJ13" s="159">
        <f t="shared" si="2"/>
        <v>0</v>
      </c>
      <c r="AK13" s="251"/>
      <c r="AR13" s="152" t="s">
        <v>106</v>
      </c>
      <c r="AS13" s="153"/>
      <c r="AT13" s="158">
        <f>AVERAGE(AT3:AT12)</f>
        <v>4.5540000000000003</v>
      </c>
      <c r="AU13" s="158">
        <f t="shared" ref="AU13:AZ13" si="3">AVERAGE(AU3:AU12)</f>
        <v>0</v>
      </c>
      <c r="AV13" s="158">
        <f t="shared" si="3"/>
        <v>4.5900000000000016</v>
      </c>
      <c r="AW13" s="158">
        <f t="shared" si="3"/>
        <v>45.3</v>
      </c>
      <c r="AX13" s="158">
        <f t="shared" si="3"/>
        <v>0.69000000000000006</v>
      </c>
      <c r="AY13" s="158">
        <f t="shared" si="3"/>
        <v>14.548000000000002</v>
      </c>
      <c r="AZ13" s="159">
        <f t="shared" si="3"/>
        <v>0</v>
      </c>
      <c r="BA13" s="251"/>
      <c r="BG13" s="152" t="s">
        <v>106</v>
      </c>
      <c r="BH13" s="153"/>
      <c r="BI13" s="158">
        <f>AVERAGE(BI3:BI12)</f>
        <v>4.4930000000000003</v>
      </c>
      <c r="BJ13" s="158">
        <f t="shared" ref="BJ13:BO13" si="4">AVERAGE(BJ3:BJ12)</f>
        <v>0</v>
      </c>
      <c r="BK13" s="158">
        <f t="shared" si="4"/>
        <v>43.870000000000005</v>
      </c>
      <c r="BL13" s="158">
        <f t="shared" si="4"/>
        <v>43.4</v>
      </c>
      <c r="BM13" s="158">
        <f t="shared" si="4"/>
        <v>0.38</v>
      </c>
      <c r="BN13" s="158">
        <f t="shared" si="4"/>
        <v>14.105</v>
      </c>
      <c r="BO13" s="159">
        <f t="shared" si="4"/>
        <v>0</v>
      </c>
      <c r="BP13" s="251"/>
    </row>
    <row r="14" spans="2:68">
      <c r="B14" s="149"/>
      <c r="C14" s="162"/>
      <c r="O14" s="149"/>
      <c r="P14" s="162"/>
      <c r="AB14" s="149"/>
      <c r="AC14" s="162"/>
      <c r="AR14" s="149"/>
      <c r="AS14" s="162"/>
      <c r="BG14" s="149"/>
      <c r="BH14" s="162"/>
    </row>
    <row r="15" spans="2:68">
      <c r="B15" s="255" t="s">
        <v>107</v>
      </c>
      <c r="C15" s="152" t="s">
        <v>97</v>
      </c>
      <c r="D15" s="152" t="s">
        <v>98</v>
      </c>
      <c r="E15" s="152" t="s">
        <v>99</v>
      </c>
      <c r="F15" s="152" t="s">
        <v>100</v>
      </c>
      <c r="G15" s="152" t="s">
        <v>101</v>
      </c>
      <c r="H15" s="152" t="s">
        <v>102</v>
      </c>
      <c r="I15" s="152" t="s">
        <v>103</v>
      </c>
      <c r="J15" s="152" t="s">
        <v>104</v>
      </c>
      <c r="K15" s="152" t="s">
        <v>105</v>
      </c>
      <c r="O15" s="255" t="s">
        <v>107</v>
      </c>
      <c r="P15" s="152" t="s">
        <v>97</v>
      </c>
      <c r="Q15" s="152" t="s">
        <v>98</v>
      </c>
      <c r="R15" s="152" t="s">
        <v>99</v>
      </c>
      <c r="S15" s="152" t="s">
        <v>100</v>
      </c>
      <c r="T15" s="152" t="s">
        <v>101</v>
      </c>
      <c r="U15" s="152" t="s">
        <v>102</v>
      </c>
      <c r="V15" s="152" t="s">
        <v>103</v>
      </c>
      <c r="W15" s="152" t="s">
        <v>104</v>
      </c>
      <c r="AB15" s="255" t="s">
        <v>107</v>
      </c>
      <c r="AC15" s="152" t="s">
        <v>97</v>
      </c>
      <c r="AD15" s="152" t="s">
        <v>98</v>
      </c>
      <c r="AE15" s="152" t="s">
        <v>99</v>
      </c>
      <c r="AF15" s="152" t="s">
        <v>100</v>
      </c>
      <c r="AG15" s="152" t="s">
        <v>101</v>
      </c>
      <c r="AH15" s="152" t="s">
        <v>102</v>
      </c>
      <c r="AI15" s="152" t="s">
        <v>103</v>
      </c>
      <c r="AJ15" s="152" t="s">
        <v>104</v>
      </c>
      <c r="AK15" s="152" t="s">
        <v>105</v>
      </c>
      <c r="AR15" s="255" t="s">
        <v>107</v>
      </c>
      <c r="AS15" s="152" t="s">
        <v>97</v>
      </c>
      <c r="AT15" s="152" t="s">
        <v>98</v>
      </c>
      <c r="AU15" s="152" t="s">
        <v>99</v>
      </c>
      <c r="AV15" s="152" t="s">
        <v>100</v>
      </c>
      <c r="AW15" s="152" t="s">
        <v>101</v>
      </c>
      <c r="AX15" s="152" t="s">
        <v>102</v>
      </c>
      <c r="AY15" s="152" t="s">
        <v>103</v>
      </c>
      <c r="AZ15" s="152" t="s">
        <v>104</v>
      </c>
      <c r="BA15" s="152" t="s">
        <v>105</v>
      </c>
      <c r="BG15" s="255" t="s">
        <v>107</v>
      </c>
      <c r="BH15" s="152" t="s">
        <v>97</v>
      </c>
      <c r="BI15" s="152" t="s">
        <v>98</v>
      </c>
      <c r="BJ15" s="152" t="s">
        <v>99</v>
      </c>
      <c r="BK15" s="152" t="s">
        <v>100</v>
      </c>
      <c r="BL15" s="152" t="s">
        <v>101</v>
      </c>
      <c r="BM15" s="152" t="s">
        <v>102</v>
      </c>
      <c r="BN15" s="152" t="s">
        <v>103</v>
      </c>
      <c r="BO15" s="152" t="s">
        <v>104</v>
      </c>
      <c r="BP15" s="152" t="s">
        <v>105</v>
      </c>
    </row>
    <row r="16" spans="2:68" ht="13.95" customHeight="1">
      <c r="B16" s="255"/>
      <c r="C16" s="153">
        <v>45905.481215277781</v>
      </c>
      <c r="D16" s="154">
        <v>6.36</v>
      </c>
      <c r="E16" s="155">
        <v>0</v>
      </c>
      <c r="F16" s="156">
        <v>29.4</v>
      </c>
      <c r="G16" s="155">
        <v>29</v>
      </c>
      <c r="H16" s="156">
        <v>0</v>
      </c>
      <c r="I16" s="154">
        <v>13.57</v>
      </c>
      <c r="J16" s="155">
        <v>0</v>
      </c>
      <c r="K16" s="256">
        <v>0.35</v>
      </c>
      <c r="O16" s="255"/>
      <c r="P16" s="153">
        <v>45968.482905092591</v>
      </c>
      <c r="Q16" s="154">
        <v>6.71</v>
      </c>
      <c r="R16" s="155">
        <v>0</v>
      </c>
      <c r="S16" s="156">
        <v>45.2</v>
      </c>
      <c r="T16" s="155">
        <v>45</v>
      </c>
      <c r="U16" s="156">
        <v>0</v>
      </c>
      <c r="V16" s="154">
        <v>0.04</v>
      </c>
      <c r="W16" s="155">
        <v>0</v>
      </c>
      <c r="AB16" s="255"/>
      <c r="AC16" s="157">
        <v>46009.418749999997</v>
      </c>
      <c r="AD16" s="154">
        <v>5.59</v>
      </c>
      <c r="AE16" s="155">
        <v>0</v>
      </c>
      <c r="AF16" s="156">
        <v>47.3</v>
      </c>
      <c r="AG16" s="155">
        <v>47</v>
      </c>
      <c r="AH16" s="156">
        <v>0.3</v>
      </c>
      <c r="AI16" s="154">
        <v>0.32</v>
      </c>
      <c r="AJ16" s="155">
        <v>0</v>
      </c>
      <c r="AK16" s="249">
        <v>2.09</v>
      </c>
      <c r="AR16" s="255"/>
      <c r="AS16" s="157">
        <v>46065.416666666664</v>
      </c>
      <c r="AT16" s="154">
        <v>5.64</v>
      </c>
      <c r="AU16" s="155">
        <v>0</v>
      </c>
      <c r="AV16" s="156">
        <v>34.799999999999997</v>
      </c>
      <c r="AW16" s="155">
        <v>35</v>
      </c>
      <c r="AX16" s="156">
        <v>0</v>
      </c>
      <c r="AY16" s="154">
        <v>0.3</v>
      </c>
      <c r="AZ16" s="155">
        <v>0</v>
      </c>
      <c r="BA16" s="249">
        <v>2.58</v>
      </c>
      <c r="BG16" s="255"/>
      <c r="BH16" s="157">
        <v>46079.424305555556</v>
      </c>
      <c r="BI16" s="154">
        <v>7.34</v>
      </c>
      <c r="BJ16" s="155">
        <v>0</v>
      </c>
      <c r="BK16" s="156">
        <v>32</v>
      </c>
      <c r="BL16" s="155">
        <v>32</v>
      </c>
      <c r="BM16" s="156">
        <v>0</v>
      </c>
      <c r="BN16" s="154">
        <v>0.01</v>
      </c>
      <c r="BO16" s="155">
        <v>0</v>
      </c>
      <c r="BP16" s="249">
        <v>2.54</v>
      </c>
    </row>
    <row r="17" spans="2:68">
      <c r="B17" s="255"/>
      <c r="C17" s="153">
        <v>45905.481909722199</v>
      </c>
      <c r="D17" s="154">
        <v>6.17</v>
      </c>
      <c r="E17" s="155">
        <v>0</v>
      </c>
      <c r="F17" s="156">
        <v>30.3</v>
      </c>
      <c r="G17" s="155">
        <v>30</v>
      </c>
      <c r="H17" s="156">
        <v>0</v>
      </c>
      <c r="I17" s="154">
        <v>14.04</v>
      </c>
      <c r="J17" s="155">
        <v>0</v>
      </c>
      <c r="K17" s="257"/>
      <c r="O17" s="255"/>
      <c r="P17" s="153">
        <v>45968.483599537038</v>
      </c>
      <c r="Q17" s="154">
        <v>6.78</v>
      </c>
      <c r="R17" s="155">
        <v>0</v>
      </c>
      <c r="S17" s="156">
        <v>45.5</v>
      </c>
      <c r="T17" s="155">
        <v>45</v>
      </c>
      <c r="U17" s="156">
        <v>0</v>
      </c>
      <c r="V17" s="154">
        <v>0.04</v>
      </c>
      <c r="W17" s="155">
        <v>0</v>
      </c>
      <c r="AB17" s="255"/>
      <c r="AC17" s="157">
        <v>46009.419444444444</v>
      </c>
      <c r="AD17" s="154">
        <v>5.58</v>
      </c>
      <c r="AE17" s="155">
        <v>0</v>
      </c>
      <c r="AF17" s="156">
        <v>48.8</v>
      </c>
      <c r="AG17" s="155">
        <v>48</v>
      </c>
      <c r="AH17" s="156">
        <v>0.8</v>
      </c>
      <c r="AI17" s="154">
        <v>0.31</v>
      </c>
      <c r="AJ17" s="155">
        <v>0</v>
      </c>
      <c r="AK17" s="250"/>
      <c r="AR17" s="255"/>
      <c r="AS17" s="157">
        <v>46065.417361111111</v>
      </c>
      <c r="AT17" s="154">
        <v>5.6</v>
      </c>
      <c r="AU17" s="155">
        <v>0</v>
      </c>
      <c r="AV17" s="156">
        <v>36.1</v>
      </c>
      <c r="AW17" s="155">
        <v>36</v>
      </c>
      <c r="AX17" s="156">
        <v>0</v>
      </c>
      <c r="AY17" s="154">
        <v>0.28000000000000003</v>
      </c>
      <c r="AZ17" s="155">
        <v>0</v>
      </c>
      <c r="BA17" s="250"/>
      <c r="BG17" s="255"/>
      <c r="BH17" s="157">
        <v>46079.425000000003</v>
      </c>
      <c r="BI17" s="154">
        <v>7.25</v>
      </c>
      <c r="BJ17" s="155">
        <v>0</v>
      </c>
      <c r="BK17" s="156">
        <v>32.299999999999997</v>
      </c>
      <c r="BL17" s="155">
        <v>32</v>
      </c>
      <c r="BM17" s="156">
        <v>0</v>
      </c>
      <c r="BN17" s="154">
        <v>0.01</v>
      </c>
      <c r="BO17" s="155">
        <v>0</v>
      </c>
      <c r="BP17" s="250"/>
    </row>
    <row r="18" spans="2:68">
      <c r="B18" s="255"/>
      <c r="C18" s="153">
        <v>45905.482604166697</v>
      </c>
      <c r="D18" s="154">
        <v>6.36</v>
      </c>
      <c r="E18" s="155">
        <v>0</v>
      </c>
      <c r="F18" s="156">
        <v>31.1</v>
      </c>
      <c r="G18" s="155">
        <v>31</v>
      </c>
      <c r="H18" s="156">
        <v>0</v>
      </c>
      <c r="I18" s="154">
        <v>14.43</v>
      </c>
      <c r="J18" s="155">
        <v>0</v>
      </c>
      <c r="K18" s="257"/>
      <c r="O18" s="255"/>
      <c r="P18" s="153">
        <v>45968.484293981484</v>
      </c>
      <c r="Q18" s="154">
        <v>6.67</v>
      </c>
      <c r="R18" s="155">
        <v>0</v>
      </c>
      <c r="S18" s="156">
        <v>46.2</v>
      </c>
      <c r="T18" s="155">
        <v>46</v>
      </c>
      <c r="U18" s="156">
        <v>0</v>
      </c>
      <c r="V18" s="154">
        <v>0.03</v>
      </c>
      <c r="W18" s="155">
        <v>0</v>
      </c>
      <c r="AB18" s="255"/>
      <c r="AC18" s="157">
        <v>46009.420138831018</v>
      </c>
      <c r="AD18" s="154">
        <v>9.5299999999999994</v>
      </c>
      <c r="AE18" s="155">
        <v>0</v>
      </c>
      <c r="AF18" s="156">
        <v>41.1</v>
      </c>
      <c r="AG18" s="155">
        <v>41</v>
      </c>
      <c r="AH18" s="156">
        <v>0.1</v>
      </c>
      <c r="AI18" s="154">
        <v>0.31</v>
      </c>
      <c r="AJ18" s="155">
        <v>0</v>
      </c>
      <c r="AK18" s="250"/>
      <c r="AR18" s="255"/>
      <c r="AS18" s="157">
        <v>46065.418055497685</v>
      </c>
      <c r="AT18" s="154">
        <v>5.4</v>
      </c>
      <c r="AU18" s="155">
        <v>0</v>
      </c>
      <c r="AV18" s="156">
        <v>37.1</v>
      </c>
      <c r="AW18" s="155">
        <v>37</v>
      </c>
      <c r="AX18" s="156">
        <v>0</v>
      </c>
      <c r="AY18" s="154">
        <v>0.25</v>
      </c>
      <c r="AZ18" s="155">
        <v>0</v>
      </c>
      <c r="BA18" s="250"/>
      <c r="BG18" s="255"/>
      <c r="BH18" s="157">
        <v>46079.425694444442</v>
      </c>
      <c r="BI18" s="154">
        <v>7.22</v>
      </c>
      <c r="BJ18" s="155">
        <v>0</v>
      </c>
      <c r="BK18" s="156">
        <v>32.5</v>
      </c>
      <c r="BL18" s="155">
        <v>33</v>
      </c>
      <c r="BM18" s="156">
        <v>0</v>
      </c>
      <c r="BN18" s="154">
        <v>0.01</v>
      </c>
      <c r="BO18" s="155">
        <v>0</v>
      </c>
      <c r="BP18" s="250"/>
    </row>
    <row r="19" spans="2:68">
      <c r="B19" s="255"/>
      <c r="C19" s="153">
        <v>45905.4832986111</v>
      </c>
      <c r="D19" s="154">
        <v>6.17</v>
      </c>
      <c r="E19" s="155">
        <v>0</v>
      </c>
      <c r="F19" s="156">
        <v>30.8</v>
      </c>
      <c r="G19" s="155">
        <v>31</v>
      </c>
      <c r="H19" s="156">
        <v>0</v>
      </c>
      <c r="I19" s="154">
        <v>14.74</v>
      </c>
      <c r="J19" s="155">
        <v>0</v>
      </c>
      <c r="K19" s="257"/>
      <c r="O19" s="255"/>
      <c r="P19" s="153">
        <v>45968.484988425924</v>
      </c>
      <c r="Q19" s="154">
        <v>6.65</v>
      </c>
      <c r="R19" s="155">
        <v>0</v>
      </c>
      <c r="S19" s="156">
        <v>46.8</v>
      </c>
      <c r="T19" s="155">
        <v>47</v>
      </c>
      <c r="U19" s="156">
        <v>0</v>
      </c>
      <c r="V19" s="154">
        <v>0.03</v>
      </c>
      <c r="W19" s="155">
        <v>0</v>
      </c>
      <c r="AB19" s="255"/>
      <c r="AC19" s="157">
        <v>46009.420833275464</v>
      </c>
      <c r="AD19" s="154">
        <v>7.4</v>
      </c>
      <c r="AE19" s="155">
        <v>0</v>
      </c>
      <c r="AF19" s="156">
        <v>38.200000000000003</v>
      </c>
      <c r="AG19" s="155">
        <v>38</v>
      </c>
      <c r="AH19" s="156">
        <v>0.2</v>
      </c>
      <c r="AI19" s="154">
        <v>0.3</v>
      </c>
      <c r="AJ19" s="155">
        <v>0</v>
      </c>
      <c r="AK19" s="250"/>
      <c r="AR19" s="255"/>
      <c r="AS19" s="157">
        <v>46065.418749942131</v>
      </c>
      <c r="AT19" s="154">
        <v>5.4</v>
      </c>
      <c r="AU19" s="155">
        <v>0</v>
      </c>
      <c r="AV19" s="156">
        <v>38.1</v>
      </c>
      <c r="AW19" s="155">
        <v>38</v>
      </c>
      <c r="AX19" s="156">
        <v>0</v>
      </c>
      <c r="AY19" s="154">
        <v>0.23</v>
      </c>
      <c r="AZ19" s="155">
        <v>0</v>
      </c>
      <c r="BA19" s="250"/>
      <c r="BG19" s="255"/>
      <c r="BH19" s="157">
        <v>46079.426388888889</v>
      </c>
      <c r="BI19" s="154">
        <v>7.28</v>
      </c>
      <c r="BJ19" s="155">
        <v>0</v>
      </c>
      <c r="BK19" s="156">
        <v>32.1</v>
      </c>
      <c r="BL19" s="155">
        <v>32</v>
      </c>
      <c r="BM19" s="156">
        <v>0</v>
      </c>
      <c r="BN19" s="154">
        <v>0.01</v>
      </c>
      <c r="BO19" s="155">
        <v>0</v>
      </c>
      <c r="BP19" s="250"/>
    </row>
    <row r="20" spans="2:68">
      <c r="B20" s="255"/>
      <c r="C20" s="153">
        <v>45905.483993055597</v>
      </c>
      <c r="D20" s="154">
        <v>6.05</v>
      </c>
      <c r="E20" s="155">
        <v>0</v>
      </c>
      <c r="F20" s="156">
        <v>30.2</v>
      </c>
      <c r="G20" s="155">
        <v>30</v>
      </c>
      <c r="H20" s="156">
        <v>0</v>
      </c>
      <c r="I20" s="154">
        <v>14.96</v>
      </c>
      <c r="J20" s="155">
        <v>0</v>
      </c>
      <c r="K20" s="257"/>
      <c r="O20" s="255"/>
      <c r="P20" s="153">
        <v>45968.485682870371</v>
      </c>
      <c r="Q20" s="154">
        <v>6.75</v>
      </c>
      <c r="R20" s="155">
        <v>0</v>
      </c>
      <c r="S20" s="156">
        <v>47</v>
      </c>
      <c r="T20" s="155">
        <v>47</v>
      </c>
      <c r="U20" s="156">
        <v>0</v>
      </c>
      <c r="V20" s="154">
        <v>0.02</v>
      </c>
      <c r="W20" s="155">
        <v>0</v>
      </c>
      <c r="AB20" s="255"/>
      <c r="AC20" s="157">
        <v>46009.421527719911</v>
      </c>
      <c r="AD20" s="154">
        <v>5.52</v>
      </c>
      <c r="AE20" s="155">
        <v>0</v>
      </c>
      <c r="AF20" s="156">
        <v>49.7</v>
      </c>
      <c r="AG20" s="155">
        <v>49</v>
      </c>
      <c r="AH20" s="156">
        <v>0.7</v>
      </c>
      <c r="AI20" s="154">
        <v>0.3</v>
      </c>
      <c r="AJ20" s="155">
        <v>0</v>
      </c>
      <c r="AK20" s="250"/>
      <c r="AR20" s="255"/>
      <c r="AS20" s="157">
        <v>46065.419444386571</v>
      </c>
      <c r="AT20" s="154">
        <v>5.16</v>
      </c>
      <c r="AU20" s="155">
        <v>0</v>
      </c>
      <c r="AV20" s="156">
        <v>39.1</v>
      </c>
      <c r="AW20" s="155">
        <v>39</v>
      </c>
      <c r="AX20" s="156">
        <v>0</v>
      </c>
      <c r="AY20" s="154">
        <v>0.21</v>
      </c>
      <c r="AZ20" s="155">
        <v>0</v>
      </c>
      <c r="BA20" s="250"/>
      <c r="BG20" s="255"/>
      <c r="BH20" s="157">
        <v>46079.427083333336</v>
      </c>
      <c r="BI20" s="154">
        <v>7.08</v>
      </c>
      <c r="BJ20" s="155">
        <v>0</v>
      </c>
      <c r="BK20" s="156">
        <v>32.700000000000003</v>
      </c>
      <c r="BL20" s="155">
        <v>33</v>
      </c>
      <c r="BM20" s="156">
        <v>0</v>
      </c>
      <c r="BN20" s="154">
        <v>0.01</v>
      </c>
      <c r="BO20" s="155">
        <v>0</v>
      </c>
      <c r="BP20" s="250"/>
    </row>
    <row r="21" spans="2:68">
      <c r="B21" s="255"/>
      <c r="C21" s="153">
        <v>45905.4846875</v>
      </c>
      <c r="D21" s="154">
        <v>6.01</v>
      </c>
      <c r="E21" s="155">
        <v>0</v>
      </c>
      <c r="F21" s="156">
        <v>30.5</v>
      </c>
      <c r="G21" s="155">
        <v>31</v>
      </c>
      <c r="H21" s="156">
        <v>0</v>
      </c>
      <c r="I21" s="154">
        <v>15.12</v>
      </c>
      <c r="J21" s="155">
        <v>0</v>
      </c>
      <c r="K21" s="257"/>
      <c r="O21" s="255"/>
      <c r="P21" s="153">
        <v>45968.486377314817</v>
      </c>
      <c r="Q21" s="154">
        <v>6.68</v>
      </c>
      <c r="R21" s="155">
        <v>0</v>
      </c>
      <c r="S21" s="156">
        <v>47.8</v>
      </c>
      <c r="T21" s="155">
        <v>48</v>
      </c>
      <c r="U21" s="156">
        <v>0</v>
      </c>
      <c r="V21" s="154">
        <v>0.01</v>
      </c>
      <c r="W21" s="155">
        <v>0</v>
      </c>
      <c r="AB21" s="255"/>
      <c r="AC21" s="157">
        <v>46009.42222216435</v>
      </c>
      <c r="AD21" s="154">
        <v>5.56</v>
      </c>
      <c r="AE21" s="155">
        <v>0</v>
      </c>
      <c r="AF21" s="156">
        <v>50.8</v>
      </c>
      <c r="AG21" s="155">
        <v>50</v>
      </c>
      <c r="AH21" s="156">
        <v>0.8</v>
      </c>
      <c r="AI21" s="154">
        <v>0.28999999999999998</v>
      </c>
      <c r="AJ21" s="155">
        <v>0</v>
      </c>
      <c r="AK21" s="250"/>
      <c r="AR21" s="255"/>
      <c r="AS21" s="157">
        <v>46065.420138831018</v>
      </c>
      <c r="AT21" s="154">
        <v>5.21</v>
      </c>
      <c r="AU21" s="155">
        <v>0</v>
      </c>
      <c r="AV21" s="156">
        <v>40.4</v>
      </c>
      <c r="AW21" s="155">
        <v>40</v>
      </c>
      <c r="AX21" s="156">
        <v>0</v>
      </c>
      <c r="AY21" s="154">
        <v>0.2</v>
      </c>
      <c r="AZ21" s="155">
        <v>0</v>
      </c>
      <c r="BA21" s="250"/>
      <c r="BG21" s="255"/>
      <c r="BH21" s="157">
        <v>46079.427777777775</v>
      </c>
      <c r="BI21" s="154">
        <v>6.76</v>
      </c>
      <c r="BJ21" s="155">
        <v>0</v>
      </c>
      <c r="BK21" s="156">
        <v>32.9</v>
      </c>
      <c r="BL21" s="155">
        <v>33</v>
      </c>
      <c r="BM21" s="156">
        <v>0</v>
      </c>
      <c r="BN21" s="154">
        <v>0.01</v>
      </c>
      <c r="BO21" s="155">
        <v>0</v>
      </c>
      <c r="BP21" s="250"/>
    </row>
    <row r="22" spans="2:68">
      <c r="B22" s="255"/>
      <c r="C22" s="153">
        <v>45905.485381944403</v>
      </c>
      <c r="D22" s="154">
        <v>6.03</v>
      </c>
      <c r="E22" s="155">
        <v>0</v>
      </c>
      <c r="F22" s="156">
        <v>31.1</v>
      </c>
      <c r="G22" s="155">
        <v>31</v>
      </c>
      <c r="H22" s="156">
        <v>0</v>
      </c>
      <c r="I22" s="154">
        <v>15.29</v>
      </c>
      <c r="J22" s="155">
        <v>0</v>
      </c>
      <c r="K22" s="257"/>
      <c r="O22" s="255"/>
      <c r="P22" s="153">
        <v>45968.487071759257</v>
      </c>
      <c r="Q22" s="154">
        <v>6.61</v>
      </c>
      <c r="R22" s="155">
        <v>0</v>
      </c>
      <c r="S22" s="156">
        <v>48.1</v>
      </c>
      <c r="T22" s="155">
        <v>48</v>
      </c>
      <c r="U22" s="156">
        <v>0</v>
      </c>
      <c r="V22" s="154">
        <v>0.02</v>
      </c>
      <c r="W22" s="155">
        <v>0</v>
      </c>
      <c r="AB22" s="255"/>
      <c r="AC22" s="157">
        <v>46009.422916608797</v>
      </c>
      <c r="AD22" s="154">
        <v>5.87</v>
      </c>
      <c r="AE22" s="155">
        <v>0</v>
      </c>
      <c r="AF22" s="156">
        <v>51.6</v>
      </c>
      <c r="AG22" s="155">
        <v>51</v>
      </c>
      <c r="AH22" s="156">
        <v>0.6</v>
      </c>
      <c r="AI22" s="154">
        <v>0.28999999999999998</v>
      </c>
      <c r="AJ22" s="155">
        <v>0</v>
      </c>
      <c r="AK22" s="250"/>
      <c r="AR22" s="255"/>
      <c r="AS22" s="157">
        <v>46065.420833275464</v>
      </c>
      <c r="AT22" s="154">
        <v>5.35</v>
      </c>
      <c r="AU22" s="155">
        <v>0</v>
      </c>
      <c r="AV22" s="156">
        <v>41.2</v>
      </c>
      <c r="AW22" s="155">
        <v>41</v>
      </c>
      <c r="AX22" s="156">
        <v>0</v>
      </c>
      <c r="AY22" s="154">
        <v>0.18</v>
      </c>
      <c r="AZ22" s="155">
        <v>0</v>
      </c>
      <c r="BA22" s="250"/>
      <c r="BG22" s="255"/>
      <c r="BH22" s="157">
        <v>46079.428472222222</v>
      </c>
      <c r="BI22" s="154">
        <v>6.77</v>
      </c>
      <c r="BJ22" s="155">
        <v>0</v>
      </c>
      <c r="BK22" s="156">
        <v>33.6</v>
      </c>
      <c r="BL22" s="155">
        <v>34</v>
      </c>
      <c r="BM22" s="156">
        <v>0</v>
      </c>
      <c r="BN22" s="154">
        <v>0.01</v>
      </c>
      <c r="BO22" s="155">
        <v>0</v>
      </c>
      <c r="BP22" s="250"/>
    </row>
    <row r="23" spans="2:68">
      <c r="B23" s="255"/>
      <c r="C23" s="153">
        <v>45905.486076388901</v>
      </c>
      <c r="D23" s="154">
        <v>5.93</v>
      </c>
      <c r="E23" s="155">
        <v>0</v>
      </c>
      <c r="F23" s="156">
        <v>31.1</v>
      </c>
      <c r="G23" s="155">
        <v>31</v>
      </c>
      <c r="H23" s="156">
        <v>0</v>
      </c>
      <c r="I23" s="154">
        <v>15.44</v>
      </c>
      <c r="J23" s="155">
        <v>0</v>
      </c>
      <c r="K23" s="257"/>
      <c r="O23" s="255"/>
      <c r="P23" s="153">
        <v>45968.487766203703</v>
      </c>
      <c r="Q23" s="154">
        <v>6.58</v>
      </c>
      <c r="R23" s="155">
        <v>0</v>
      </c>
      <c r="S23" s="156">
        <v>48.6</v>
      </c>
      <c r="T23" s="155">
        <v>49</v>
      </c>
      <c r="U23" s="156">
        <v>0</v>
      </c>
      <c r="V23" s="154">
        <v>0.01</v>
      </c>
      <c r="W23" s="155">
        <v>0</v>
      </c>
      <c r="AB23" s="255"/>
      <c r="AC23" s="157">
        <v>46009.423611053244</v>
      </c>
      <c r="AD23" s="154">
        <v>6.03</v>
      </c>
      <c r="AE23" s="155">
        <v>0</v>
      </c>
      <c r="AF23" s="156">
        <v>51.1</v>
      </c>
      <c r="AG23" s="155">
        <v>51</v>
      </c>
      <c r="AH23" s="156">
        <v>0.1</v>
      </c>
      <c r="AI23" s="154">
        <v>0.28999999999999998</v>
      </c>
      <c r="AJ23" s="155">
        <v>0</v>
      </c>
      <c r="AK23" s="250"/>
      <c r="AR23" s="255"/>
      <c r="AS23" s="157">
        <v>46065.421527719911</v>
      </c>
      <c r="AT23" s="154">
        <v>5.08</v>
      </c>
      <c r="AU23" s="155">
        <v>0</v>
      </c>
      <c r="AV23" s="156">
        <v>41.5</v>
      </c>
      <c r="AW23" s="155">
        <v>42</v>
      </c>
      <c r="AX23" s="156">
        <v>0</v>
      </c>
      <c r="AY23" s="154">
        <v>0.16</v>
      </c>
      <c r="AZ23" s="155">
        <v>0</v>
      </c>
      <c r="BA23" s="250"/>
      <c r="BG23" s="255"/>
      <c r="BH23" s="157">
        <v>46079.429166666669</v>
      </c>
      <c r="BI23" s="154">
        <v>7.02</v>
      </c>
      <c r="BJ23" s="155">
        <v>0</v>
      </c>
      <c r="BK23" s="156">
        <v>34.9</v>
      </c>
      <c r="BL23" s="155">
        <v>35</v>
      </c>
      <c r="BM23" s="156">
        <v>0</v>
      </c>
      <c r="BN23" s="154">
        <v>0.01</v>
      </c>
      <c r="BO23" s="155">
        <v>0</v>
      </c>
      <c r="BP23" s="250"/>
    </row>
    <row r="24" spans="2:68">
      <c r="B24" s="255"/>
      <c r="C24" s="153">
        <v>45905.486770833297</v>
      </c>
      <c r="D24" s="154">
        <v>6</v>
      </c>
      <c r="E24" s="155">
        <v>0</v>
      </c>
      <c r="F24" s="156">
        <v>30.9</v>
      </c>
      <c r="G24" s="155">
        <v>31</v>
      </c>
      <c r="H24" s="156">
        <v>0</v>
      </c>
      <c r="I24" s="154">
        <v>15.59</v>
      </c>
      <c r="J24" s="155">
        <v>0</v>
      </c>
      <c r="K24" s="257"/>
      <c r="O24" s="255"/>
      <c r="P24" s="153">
        <v>45968.48846064815</v>
      </c>
      <c r="Q24" s="154">
        <v>6.56</v>
      </c>
      <c r="R24" s="155">
        <v>0</v>
      </c>
      <c r="S24" s="156">
        <v>49.3</v>
      </c>
      <c r="T24" s="155">
        <v>49</v>
      </c>
      <c r="U24" s="156">
        <v>0</v>
      </c>
      <c r="V24" s="154">
        <v>0</v>
      </c>
      <c r="W24" s="155">
        <v>0</v>
      </c>
      <c r="AB24" s="255"/>
      <c r="AC24" s="157">
        <v>46009.424305497683</v>
      </c>
      <c r="AD24" s="154">
        <v>5.94</v>
      </c>
      <c r="AE24" s="155">
        <v>0</v>
      </c>
      <c r="AF24" s="156">
        <v>50</v>
      </c>
      <c r="AG24" s="155">
        <v>50</v>
      </c>
      <c r="AH24" s="156">
        <v>0</v>
      </c>
      <c r="AI24" s="154">
        <v>0.28000000000000003</v>
      </c>
      <c r="AJ24" s="155">
        <v>0</v>
      </c>
      <c r="AK24" s="250"/>
      <c r="AR24" s="255"/>
      <c r="AS24" s="157">
        <v>46065.42222216435</v>
      </c>
      <c r="AT24" s="154">
        <v>5.19</v>
      </c>
      <c r="AU24" s="155">
        <v>0</v>
      </c>
      <c r="AV24" s="156">
        <v>41.5</v>
      </c>
      <c r="AW24" s="155">
        <v>42</v>
      </c>
      <c r="AX24" s="156">
        <v>0</v>
      </c>
      <c r="AY24" s="154">
        <v>0.15</v>
      </c>
      <c r="AZ24" s="155">
        <v>0</v>
      </c>
      <c r="BA24" s="250"/>
      <c r="BG24" s="255"/>
      <c r="BH24" s="157">
        <v>46079.429861111108</v>
      </c>
      <c r="BI24" s="154">
        <v>7</v>
      </c>
      <c r="BJ24" s="155">
        <v>0</v>
      </c>
      <c r="BK24" s="156">
        <v>35.5</v>
      </c>
      <c r="BL24" s="155">
        <v>36</v>
      </c>
      <c r="BM24" s="156">
        <v>0</v>
      </c>
      <c r="BN24" s="154">
        <v>0.01</v>
      </c>
      <c r="BO24" s="155">
        <v>0</v>
      </c>
      <c r="BP24" s="250"/>
    </row>
    <row r="25" spans="2:68">
      <c r="B25" s="255"/>
      <c r="C25" s="153">
        <v>45905.487465277802</v>
      </c>
      <c r="D25" s="154">
        <v>5.91</v>
      </c>
      <c r="E25" s="155">
        <v>0</v>
      </c>
      <c r="F25" s="156">
        <v>30.9</v>
      </c>
      <c r="G25" s="155">
        <v>31</v>
      </c>
      <c r="H25" s="156">
        <v>0</v>
      </c>
      <c r="I25" s="154">
        <v>15.73</v>
      </c>
      <c r="J25" s="155">
        <v>0</v>
      </c>
      <c r="K25" s="257"/>
      <c r="O25" s="255"/>
      <c r="P25" s="153">
        <v>45968.489155092589</v>
      </c>
      <c r="Q25" s="154">
        <v>6.57</v>
      </c>
      <c r="R25" s="155">
        <v>0</v>
      </c>
      <c r="S25" s="156">
        <v>49.8</v>
      </c>
      <c r="T25" s="155">
        <v>50</v>
      </c>
      <c r="U25" s="156">
        <v>0</v>
      </c>
      <c r="V25" s="154">
        <v>0</v>
      </c>
      <c r="W25" s="155">
        <v>0</v>
      </c>
      <c r="AB25" s="255"/>
      <c r="AC25" s="157">
        <v>46009.42499994213</v>
      </c>
      <c r="AD25" s="154">
        <v>5.75</v>
      </c>
      <c r="AE25" s="155">
        <v>0</v>
      </c>
      <c r="AF25" s="156">
        <v>49.2</v>
      </c>
      <c r="AG25" s="155">
        <v>49</v>
      </c>
      <c r="AH25" s="156">
        <v>0.2</v>
      </c>
      <c r="AI25" s="154">
        <v>0.28000000000000003</v>
      </c>
      <c r="AJ25" s="155">
        <v>0</v>
      </c>
      <c r="AK25" s="250"/>
      <c r="AR25" s="255"/>
      <c r="AS25" s="157">
        <v>46065.422916608797</v>
      </c>
      <c r="AT25" s="154">
        <v>5.18</v>
      </c>
      <c r="AU25" s="155">
        <v>0</v>
      </c>
      <c r="AV25" s="156">
        <v>42</v>
      </c>
      <c r="AW25" s="155">
        <v>43</v>
      </c>
      <c r="AX25" s="156">
        <v>0</v>
      </c>
      <c r="AY25" s="154">
        <v>0.13</v>
      </c>
      <c r="AZ25" s="155">
        <v>0</v>
      </c>
      <c r="BA25" s="250"/>
      <c r="BG25" s="255"/>
      <c r="BH25" s="157">
        <v>46079.430555555555</v>
      </c>
      <c r="BI25" s="154">
        <v>6.71</v>
      </c>
      <c r="BJ25" s="155">
        <v>0</v>
      </c>
      <c r="BK25" s="156">
        <v>35.700000000000003</v>
      </c>
      <c r="BL25" s="155">
        <v>36</v>
      </c>
      <c r="BM25" s="156">
        <v>0</v>
      </c>
      <c r="BN25" s="154">
        <v>0.01</v>
      </c>
      <c r="BO25" s="155">
        <v>0</v>
      </c>
      <c r="BP25" s="250"/>
    </row>
    <row r="26" spans="2:68">
      <c r="B26" s="152" t="s">
        <v>106</v>
      </c>
      <c r="C26" s="159"/>
      <c r="D26" s="158">
        <f>AVERAGE(D16:D25)</f>
        <v>6.0990000000000011</v>
      </c>
      <c r="E26" s="159">
        <f t="shared" ref="E26:J26" si="5">AVERAGE(E16:E25)</f>
        <v>0</v>
      </c>
      <c r="F26" s="160">
        <f t="shared" si="5"/>
        <v>30.629999999999995</v>
      </c>
      <c r="G26" s="159">
        <f t="shared" si="5"/>
        <v>30.6</v>
      </c>
      <c r="H26" s="159">
        <f t="shared" si="5"/>
        <v>0</v>
      </c>
      <c r="I26" s="158">
        <f t="shared" si="5"/>
        <v>14.891</v>
      </c>
      <c r="J26" s="159">
        <f t="shared" si="5"/>
        <v>0</v>
      </c>
      <c r="K26" s="258"/>
      <c r="O26" s="152" t="s">
        <v>106</v>
      </c>
      <c r="P26" s="159"/>
      <c r="Q26" s="158">
        <f>AVERAGE(Q16:Q25)</f>
        <v>6.6560000000000006</v>
      </c>
      <c r="R26" s="159">
        <f t="shared" ref="R26:W26" si="6">AVERAGE(R16:R25)</f>
        <v>0</v>
      </c>
      <c r="S26" s="160">
        <f t="shared" si="6"/>
        <v>47.430000000000007</v>
      </c>
      <c r="T26" s="161">
        <f t="shared" si="6"/>
        <v>47.4</v>
      </c>
      <c r="U26" s="159">
        <f t="shared" si="6"/>
        <v>0</v>
      </c>
      <c r="V26" s="158">
        <f t="shared" si="6"/>
        <v>0.02</v>
      </c>
      <c r="W26" s="159">
        <f t="shared" si="6"/>
        <v>0</v>
      </c>
      <c r="AB26" s="152" t="s">
        <v>106</v>
      </c>
      <c r="AC26" s="159"/>
      <c r="AD26" s="158">
        <f>AVERAGE(AD16:AD25)</f>
        <v>6.2770000000000001</v>
      </c>
      <c r="AE26" s="159">
        <f t="shared" ref="AE26:AJ26" si="7">AVERAGE(AE16:AE25)</f>
        <v>0</v>
      </c>
      <c r="AF26" s="160">
        <f t="shared" si="7"/>
        <v>47.78</v>
      </c>
      <c r="AG26" s="159">
        <f t="shared" si="7"/>
        <v>47.4</v>
      </c>
      <c r="AH26" s="160">
        <f t="shared" si="7"/>
        <v>0.38000000000000006</v>
      </c>
      <c r="AI26" s="158">
        <f t="shared" si="7"/>
        <v>0.29700000000000004</v>
      </c>
      <c r="AJ26" s="159">
        <f t="shared" si="7"/>
        <v>0</v>
      </c>
      <c r="AK26" s="251"/>
      <c r="AR26" s="152" t="s">
        <v>106</v>
      </c>
      <c r="AS26" s="159"/>
      <c r="AT26" s="158">
        <f>AVERAGE(AT16:AT25)</f>
        <v>5.3209999999999997</v>
      </c>
      <c r="AU26" s="159">
        <f t="shared" ref="AU26:AZ26" si="8">AVERAGE(AU16:AU25)</f>
        <v>0</v>
      </c>
      <c r="AV26" s="160">
        <f t="shared" si="8"/>
        <v>39.18</v>
      </c>
      <c r="AW26" s="159">
        <f t="shared" si="8"/>
        <v>39.299999999999997</v>
      </c>
      <c r="AX26" s="160">
        <f t="shared" si="8"/>
        <v>0</v>
      </c>
      <c r="AY26" s="158">
        <f t="shared" si="8"/>
        <v>0.20899999999999999</v>
      </c>
      <c r="AZ26" s="159">
        <f t="shared" si="8"/>
        <v>0</v>
      </c>
      <c r="BA26" s="251"/>
      <c r="BG26" s="152" t="s">
        <v>106</v>
      </c>
      <c r="BH26" s="159"/>
      <c r="BI26" s="158">
        <f>AVERAGE(BI16:BI25)</f>
        <v>7.0429999999999993</v>
      </c>
      <c r="BJ26" s="159">
        <f t="shared" ref="BJ26:BO26" si="9">AVERAGE(BJ16:BJ25)</f>
        <v>0</v>
      </c>
      <c r="BK26" s="160">
        <f t="shared" si="9"/>
        <v>33.42</v>
      </c>
      <c r="BL26" s="159">
        <f t="shared" si="9"/>
        <v>33.6</v>
      </c>
      <c r="BM26" s="160">
        <f t="shared" si="9"/>
        <v>0</v>
      </c>
      <c r="BN26" s="158">
        <f t="shared" si="9"/>
        <v>9.9999999999999985E-3</v>
      </c>
      <c r="BO26" s="159">
        <f t="shared" si="9"/>
        <v>0</v>
      </c>
      <c r="BP26" s="251"/>
    </row>
    <row r="27" spans="2:68">
      <c r="B27" s="149"/>
      <c r="O27" s="149"/>
      <c r="AB27" s="149"/>
      <c r="AR27" s="149"/>
      <c r="BG27" s="149"/>
    </row>
    <row r="28" spans="2:68">
      <c r="B28" s="255" t="s">
        <v>108</v>
      </c>
      <c r="C28" s="152" t="s">
        <v>97</v>
      </c>
      <c r="D28" s="152" t="s">
        <v>98</v>
      </c>
      <c r="E28" s="152" t="s">
        <v>99</v>
      </c>
      <c r="F28" s="152" t="s">
        <v>100</v>
      </c>
      <c r="G28" s="152" t="s">
        <v>101</v>
      </c>
      <c r="H28" s="152" t="s">
        <v>102</v>
      </c>
      <c r="I28" s="152" t="s">
        <v>103</v>
      </c>
      <c r="J28" s="152" t="s">
        <v>104</v>
      </c>
      <c r="K28" s="152" t="s">
        <v>105</v>
      </c>
      <c r="O28" s="255" t="s">
        <v>108</v>
      </c>
      <c r="P28" s="152" t="s">
        <v>97</v>
      </c>
      <c r="Q28" s="152" t="s">
        <v>98</v>
      </c>
      <c r="R28" s="152" t="s">
        <v>99</v>
      </c>
      <c r="S28" s="152" t="s">
        <v>100</v>
      </c>
      <c r="T28" s="152" t="s">
        <v>101</v>
      </c>
      <c r="U28" s="152" t="s">
        <v>102</v>
      </c>
      <c r="V28" s="152" t="s">
        <v>103</v>
      </c>
      <c r="W28" s="152" t="s">
        <v>104</v>
      </c>
      <c r="AB28" s="255" t="s">
        <v>108</v>
      </c>
      <c r="AC28" s="152" t="s">
        <v>97</v>
      </c>
      <c r="AD28" s="152" t="s">
        <v>98</v>
      </c>
      <c r="AE28" s="152" t="s">
        <v>99</v>
      </c>
      <c r="AF28" s="152" t="s">
        <v>100</v>
      </c>
      <c r="AG28" s="152" t="s">
        <v>101</v>
      </c>
      <c r="AH28" s="152" t="s">
        <v>102</v>
      </c>
      <c r="AI28" s="152" t="s">
        <v>103</v>
      </c>
      <c r="AJ28" s="152" t="s">
        <v>104</v>
      </c>
      <c r="AK28" s="152" t="s">
        <v>105</v>
      </c>
      <c r="AR28" s="255" t="s">
        <v>108</v>
      </c>
      <c r="AS28" s="152" t="s">
        <v>97</v>
      </c>
      <c r="AT28" s="152" t="s">
        <v>98</v>
      </c>
      <c r="AU28" s="152" t="s">
        <v>99</v>
      </c>
      <c r="AV28" s="152" t="s">
        <v>100</v>
      </c>
      <c r="AW28" s="152" t="s">
        <v>101</v>
      </c>
      <c r="AX28" s="152" t="s">
        <v>102</v>
      </c>
      <c r="AY28" s="152" t="s">
        <v>103</v>
      </c>
      <c r="AZ28" s="152" t="s">
        <v>104</v>
      </c>
      <c r="BA28" s="152" t="s">
        <v>105</v>
      </c>
      <c r="BG28" s="255" t="s">
        <v>108</v>
      </c>
      <c r="BH28" s="152" t="s">
        <v>97</v>
      </c>
      <c r="BI28" s="152" t="s">
        <v>98</v>
      </c>
      <c r="BJ28" s="152" t="s">
        <v>99</v>
      </c>
      <c r="BK28" s="152" t="s">
        <v>100</v>
      </c>
      <c r="BL28" s="152" t="s">
        <v>101</v>
      </c>
      <c r="BM28" s="152" t="s">
        <v>102</v>
      </c>
      <c r="BN28" s="152" t="s">
        <v>103</v>
      </c>
      <c r="BO28" s="152" t="s">
        <v>104</v>
      </c>
      <c r="BP28" s="152" t="s">
        <v>105</v>
      </c>
    </row>
    <row r="29" spans="2:68">
      <c r="B29" s="255"/>
      <c r="C29" s="153">
        <v>45905.609988425924</v>
      </c>
      <c r="D29" s="154">
        <v>0.89</v>
      </c>
      <c r="E29" s="155">
        <v>8</v>
      </c>
      <c r="F29" s="156">
        <v>0.2</v>
      </c>
      <c r="G29" s="155">
        <v>0</v>
      </c>
      <c r="H29" s="156">
        <v>0.2</v>
      </c>
      <c r="I29" s="154">
        <v>97.4</v>
      </c>
      <c r="J29" s="155">
        <v>0</v>
      </c>
      <c r="K29" s="256">
        <v>6.95</v>
      </c>
      <c r="O29" s="255"/>
      <c r="P29" s="153">
        <v>45968.632291666669</v>
      </c>
      <c r="Q29" s="154">
        <v>20.64</v>
      </c>
      <c r="R29" s="155">
        <v>1</v>
      </c>
      <c r="S29" s="156">
        <v>0.2</v>
      </c>
      <c r="T29" s="155">
        <v>0</v>
      </c>
      <c r="U29" s="156">
        <v>0.2</v>
      </c>
      <c r="V29" s="154">
        <v>1.65</v>
      </c>
      <c r="W29" s="155">
        <v>0</v>
      </c>
      <c r="AB29" s="255"/>
      <c r="AC29" s="157">
        <v>46009.604166666664</v>
      </c>
      <c r="AD29" s="154">
        <v>5.34</v>
      </c>
      <c r="AE29" s="155">
        <v>24</v>
      </c>
      <c r="AF29" s="156">
        <v>3.9</v>
      </c>
      <c r="AG29" s="155">
        <v>2</v>
      </c>
      <c r="AH29" s="156">
        <v>1.9</v>
      </c>
      <c r="AI29" s="154">
        <v>74.900000000000006</v>
      </c>
      <c r="AJ29" s="155">
        <v>3</v>
      </c>
      <c r="AK29" s="249">
        <v>4.99</v>
      </c>
      <c r="AR29" s="255"/>
      <c r="AS29" s="157">
        <v>46065.625</v>
      </c>
      <c r="AT29" s="154">
        <v>0.79</v>
      </c>
      <c r="AU29" s="155">
        <v>28</v>
      </c>
      <c r="AV29" s="156">
        <v>6.6</v>
      </c>
      <c r="AW29" s="155">
        <v>6</v>
      </c>
      <c r="AX29" s="156">
        <v>0.6</v>
      </c>
      <c r="AY29" s="154">
        <v>185.73</v>
      </c>
      <c r="AZ29" s="155">
        <v>5</v>
      </c>
      <c r="BA29" s="252">
        <v>5.0999999999999996</v>
      </c>
      <c r="BG29" s="255"/>
      <c r="BH29" s="157">
        <v>46079.609027777777</v>
      </c>
      <c r="BI29" s="154">
        <v>0.98</v>
      </c>
      <c r="BJ29" s="155">
        <v>28</v>
      </c>
      <c r="BK29" s="156">
        <v>3.1</v>
      </c>
      <c r="BL29" s="155">
        <v>2</v>
      </c>
      <c r="BM29" s="156">
        <v>1.5</v>
      </c>
      <c r="BN29" s="154">
        <v>146.03</v>
      </c>
      <c r="BO29" s="155">
        <v>5</v>
      </c>
      <c r="BP29" s="252">
        <v>5.31</v>
      </c>
    </row>
    <row r="30" spans="2:68">
      <c r="B30" s="255"/>
      <c r="C30" s="153">
        <v>45905.610682870371</v>
      </c>
      <c r="D30" s="154">
        <v>2.77</v>
      </c>
      <c r="E30" s="155">
        <v>7</v>
      </c>
      <c r="F30" s="156">
        <v>0.1</v>
      </c>
      <c r="G30" s="155">
        <v>0</v>
      </c>
      <c r="H30" s="156">
        <v>0.1</v>
      </c>
      <c r="I30" s="154">
        <v>95</v>
      </c>
      <c r="J30" s="155">
        <v>0</v>
      </c>
      <c r="K30" s="257"/>
      <c r="O30" s="255"/>
      <c r="P30" s="153">
        <v>45968.632986111108</v>
      </c>
      <c r="Q30" s="154">
        <v>20.75</v>
      </c>
      <c r="R30" s="155">
        <v>1</v>
      </c>
      <c r="S30" s="156">
        <v>0.1</v>
      </c>
      <c r="T30" s="155">
        <v>0</v>
      </c>
      <c r="U30" s="156">
        <v>0.1</v>
      </c>
      <c r="V30" s="154">
        <v>1.5</v>
      </c>
      <c r="W30" s="155">
        <v>0</v>
      </c>
      <c r="AB30" s="255"/>
      <c r="AC30" s="157">
        <v>46009.604861111111</v>
      </c>
      <c r="AD30" s="154">
        <v>1.5</v>
      </c>
      <c r="AE30" s="155">
        <v>19</v>
      </c>
      <c r="AF30" s="156">
        <v>4.7</v>
      </c>
      <c r="AG30" s="155">
        <v>4</v>
      </c>
      <c r="AH30" s="156">
        <v>0.7</v>
      </c>
      <c r="AI30" s="154">
        <v>95.92</v>
      </c>
      <c r="AJ30" s="155">
        <v>2</v>
      </c>
      <c r="AK30" s="250"/>
      <c r="AR30" s="255"/>
      <c r="AS30" s="157">
        <v>46065.625694444447</v>
      </c>
      <c r="AT30" s="154">
        <v>1.82</v>
      </c>
      <c r="AU30" s="155">
        <v>23</v>
      </c>
      <c r="AV30" s="156">
        <v>7.8</v>
      </c>
      <c r="AW30" s="155">
        <v>7</v>
      </c>
      <c r="AX30" s="156">
        <v>0.4</v>
      </c>
      <c r="AY30" s="154">
        <v>179.69</v>
      </c>
      <c r="AZ30" s="155">
        <v>5</v>
      </c>
      <c r="BA30" s="253"/>
      <c r="BG30" s="255"/>
      <c r="BH30" s="157">
        <v>46079.609722222223</v>
      </c>
      <c r="BI30" s="154">
        <v>0.56000000000000005</v>
      </c>
      <c r="BJ30" s="155">
        <v>29</v>
      </c>
      <c r="BK30" s="156">
        <v>6.2</v>
      </c>
      <c r="BL30" s="155">
        <v>5</v>
      </c>
      <c r="BM30" s="156">
        <v>0.7</v>
      </c>
      <c r="BN30" s="154">
        <v>151.26</v>
      </c>
      <c r="BO30" s="155">
        <v>5</v>
      </c>
      <c r="BP30" s="253"/>
    </row>
    <row r="31" spans="2:68">
      <c r="B31" s="255"/>
      <c r="C31" s="153">
        <v>45905.611377314817</v>
      </c>
      <c r="D31" s="154">
        <v>9.8699999999999992</v>
      </c>
      <c r="E31" s="155">
        <v>7</v>
      </c>
      <c r="F31" s="156">
        <v>0</v>
      </c>
      <c r="G31" s="155">
        <v>0</v>
      </c>
      <c r="H31" s="156">
        <v>0</v>
      </c>
      <c r="I31" s="154">
        <v>78.239999999999995</v>
      </c>
      <c r="J31" s="155">
        <v>0</v>
      </c>
      <c r="K31" s="257"/>
      <c r="O31" s="255"/>
      <c r="P31" s="153">
        <v>45968.633680555555</v>
      </c>
      <c r="Q31" s="154">
        <v>20.86</v>
      </c>
      <c r="R31" s="155">
        <v>1</v>
      </c>
      <c r="S31" s="156">
        <v>0.2</v>
      </c>
      <c r="T31" s="155">
        <v>0</v>
      </c>
      <c r="U31" s="156">
        <v>0.2</v>
      </c>
      <c r="V31" s="154">
        <v>0.97</v>
      </c>
      <c r="W31" s="155">
        <v>0</v>
      </c>
      <c r="AB31" s="255"/>
      <c r="AC31" s="157">
        <v>46009.605555555558</v>
      </c>
      <c r="AD31" s="154">
        <v>4.16</v>
      </c>
      <c r="AE31" s="155">
        <v>15</v>
      </c>
      <c r="AF31" s="156">
        <v>5.0999999999999996</v>
      </c>
      <c r="AG31" s="155">
        <v>5</v>
      </c>
      <c r="AH31" s="156">
        <v>0.1</v>
      </c>
      <c r="AI31" s="154">
        <v>91.5</v>
      </c>
      <c r="AJ31" s="155">
        <v>1</v>
      </c>
      <c r="AK31" s="250"/>
      <c r="AR31" s="255"/>
      <c r="AS31" s="157">
        <v>46065.626388888886</v>
      </c>
      <c r="AT31" s="154">
        <v>1.04</v>
      </c>
      <c r="AU31" s="155">
        <v>23</v>
      </c>
      <c r="AV31" s="156">
        <v>9.4</v>
      </c>
      <c r="AW31" s="155">
        <v>9</v>
      </c>
      <c r="AX31" s="156">
        <v>0.5</v>
      </c>
      <c r="AY31" s="154">
        <v>187.64</v>
      </c>
      <c r="AZ31" s="155">
        <v>5</v>
      </c>
      <c r="BA31" s="253"/>
      <c r="BG31" s="255"/>
      <c r="BH31" s="157">
        <v>46079.61041666667</v>
      </c>
      <c r="BI31" s="154">
        <v>0.92</v>
      </c>
      <c r="BJ31" s="155">
        <v>27</v>
      </c>
      <c r="BK31" s="156">
        <v>9.4</v>
      </c>
      <c r="BL31" s="155">
        <v>9</v>
      </c>
      <c r="BM31" s="156">
        <v>0.4</v>
      </c>
      <c r="BN31" s="154">
        <v>150.94</v>
      </c>
      <c r="BO31" s="155">
        <v>5</v>
      </c>
      <c r="BP31" s="253"/>
    </row>
    <row r="32" spans="2:68">
      <c r="B32" s="255"/>
      <c r="C32" s="153">
        <v>45905.612071759257</v>
      </c>
      <c r="D32" s="154">
        <v>13.64</v>
      </c>
      <c r="E32" s="155">
        <v>7</v>
      </c>
      <c r="F32" s="156">
        <v>0</v>
      </c>
      <c r="G32" s="155">
        <v>0</v>
      </c>
      <c r="H32" s="156">
        <v>0</v>
      </c>
      <c r="I32" s="154">
        <v>49.15</v>
      </c>
      <c r="J32" s="155">
        <v>0</v>
      </c>
      <c r="K32" s="257"/>
      <c r="O32" s="255"/>
      <c r="P32" s="153">
        <v>45968.634375000001</v>
      </c>
      <c r="Q32" s="154">
        <v>20.92</v>
      </c>
      <c r="R32" s="155">
        <v>1</v>
      </c>
      <c r="S32" s="156">
        <v>0.2</v>
      </c>
      <c r="T32" s="155">
        <v>0</v>
      </c>
      <c r="U32" s="156">
        <v>0.2</v>
      </c>
      <c r="V32" s="154">
        <v>0.75</v>
      </c>
      <c r="W32" s="155">
        <v>0</v>
      </c>
      <c r="AB32" s="255"/>
      <c r="AC32" s="157">
        <v>46009.606249999997</v>
      </c>
      <c r="AD32" s="154">
        <v>7.95</v>
      </c>
      <c r="AE32" s="155">
        <v>11</v>
      </c>
      <c r="AF32" s="156">
        <v>5</v>
      </c>
      <c r="AG32" s="155">
        <v>5</v>
      </c>
      <c r="AH32" s="156">
        <v>0</v>
      </c>
      <c r="AI32" s="154">
        <v>81.95</v>
      </c>
      <c r="AJ32" s="155">
        <v>1</v>
      </c>
      <c r="AK32" s="250"/>
      <c r="AR32" s="255"/>
      <c r="AS32" s="157">
        <v>46065.627083333333</v>
      </c>
      <c r="AT32" s="154">
        <v>1.17</v>
      </c>
      <c r="AU32" s="155">
        <v>23</v>
      </c>
      <c r="AV32" s="156">
        <v>10.4</v>
      </c>
      <c r="AW32" s="155">
        <v>10</v>
      </c>
      <c r="AX32" s="156">
        <v>0.4</v>
      </c>
      <c r="AY32" s="154">
        <v>189.43</v>
      </c>
      <c r="AZ32" s="155">
        <v>5</v>
      </c>
      <c r="BA32" s="253"/>
      <c r="BG32" s="255"/>
      <c r="BH32" s="157">
        <v>46079.611111111109</v>
      </c>
      <c r="BI32" s="154">
        <v>1.1000000000000001</v>
      </c>
      <c r="BJ32" s="155">
        <v>24</v>
      </c>
      <c r="BK32" s="156">
        <v>11.2</v>
      </c>
      <c r="BL32" s="155">
        <v>11</v>
      </c>
      <c r="BM32" s="156">
        <v>0.3</v>
      </c>
      <c r="BN32" s="154">
        <v>152.62</v>
      </c>
      <c r="BO32" s="155">
        <v>5</v>
      </c>
      <c r="BP32" s="253"/>
    </row>
    <row r="33" spans="2:68">
      <c r="B33" s="255"/>
      <c r="C33" s="153">
        <v>45905.612766203703</v>
      </c>
      <c r="D33" s="154">
        <v>15.95</v>
      </c>
      <c r="E33" s="155">
        <v>8</v>
      </c>
      <c r="F33" s="156">
        <v>0</v>
      </c>
      <c r="G33" s="155">
        <v>0</v>
      </c>
      <c r="H33" s="156">
        <v>0</v>
      </c>
      <c r="I33" s="154">
        <v>29.69</v>
      </c>
      <c r="J33" s="155">
        <v>0</v>
      </c>
      <c r="K33" s="257"/>
      <c r="O33" s="255"/>
      <c r="P33" s="153">
        <v>45968.635069444441</v>
      </c>
      <c r="Q33" s="154">
        <v>20.98</v>
      </c>
      <c r="R33" s="155">
        <v>0</v>
      </c>
      <c r="S33" s="156">
        <v>0.2</v>
      </c>
      <c r="T33" s="155">
        <v>0</v>
      </c>
      <c r="U33" s="156">
        <v>0.2</v>
      </c>
      <c r="V33" s="154">
        <v>0.48</v>
      </c>
      <c r="W33" s="155">
        <v>0</v>
      </c>
      <c r="AB33" s="255"/>
      <c r="AC33" s="157">
        <v>46009.606944444444</v>
      </c>
      <c r="AD33" s="154">
        <v>9.0500000000000007</v>
      </c>
      <c r="AE33" s="155">
        <v>9</v>
      </c>
      <c r="AF33" s="156">
        <v>4.9000000000000004</v>
      </c>
      <c r="AG33" s="155">
        <v>4</v>
      </c>
      <c r="AH33" s="156">
        <v>0.9</v>
      </c>
      <c r="AI33" s="154">
        <v>73.75</v>
      </c>
      <c r="AJ33" s="155">
        <v>1</v>
      </c>
      <c r="AK33" s="250"/>
      <c r="AR33" s="255"/>
      <c r="AS33" s="157">
        <v>46065.62777777778</v>
      </c>
      <c r="AT33" s="154">
        <v>1.44</v>
      </c>
      <c r="AU33" s="155">
        <v>22</v>
      </c>
      <c r="AV33" s="156">
        <v>11.2</v>
      </c>
      <c r="AW33" s="155">
        <v>11</v>
      </c>
      <c r="AX33" s="156">
        <v>0.4</v>
      </c>
      <c r="AY33" s="154">
        <v>188.86</v>
      </c>
      <c r="AZ33" s="155">
        <v>5</v>
      </c>
      <c r="BA33" s="253"/>
      <c r="BG33" s="255"/>
      <c r="BH33" s="157">
        <v>46079.611805555556</v>
      </c>
      <c r="BI33" s="154">
        <v>1.56</v>
      </c>
      <c r="BJ33" s="155">
        <v>23</v>
      </c>
      <c r="BK33" s="156">
        <v>12.8</v>
      </c>
      <c r="BL33" s="155">
        <v>13</v>
      </c>
      <c r="BM33" s="156">
        <v>0.3</v>
      </c>
      <c r="BN33" s="154">
        <v>152.26</v>
      </c>
      <c r="BO33" s="155">
        <v>5</v>
      </c>
      <c r="BP33" s="253"/>
    </row>
    <row r="34" spans="2:68">
      <c r="B34" s="255"/>
      <c r="C34" s="153">
        <v>45905.61346064815</v>
      </c>
      <c r="D34" s="154">
        <v>16.760000000000002</v>
      </c>
      <c r="E34" s="155">
        <v>10</v>
      </c>
      <c r="F34" s="156">
        <v>0.1</v>
      </c>
      <c r="G34" s="155">
        <v>0</v>
      </c>
      <c r="H34" s="156">
        <v>0.1</v>
      </c>
      <c r="I34" s="154">
        <v>24.42</v>
      </c>
      <c r="J34" s="155">
        <v>0</v>
      </c>
      <c r="K34" s="257"/>
      <c r="O34" s="255"/>
      <c r="P34" s="153">
        <v>45968.635763888888</v>
      </c>
      <c r="Q34" s="154">
        <v>21.02</v>
      </c>
      <c r="R34" s="155">
        <v>0</v>
      </c>
      <c r="S34" s="156">
        <v>0.2</v>
      </c>
      <c r="T34" s="155">
        <v>0</v>
      </c>
      <c r="U34" s="156">
        <v>0.2</v>
      </c>
      <c r="V34" s="154">
        <v>0.37</v>
      </c>
      <c r="W34" s="155">
        <v>0</v>
      </c>
      <c r="AB34" s="255"/>
      <c r="AC34" s="157">
        <v>46009.607638888891</v>
      </c>
      <c r="AD34" s="154">
        <v>10.01</v>
      </c>
      <c r="AE34" s="155">
        <v>8</v>
      </c>
      <c r="AF34" s="156">
        <v>5</v>
      </c>
      <c r="AG34" s="155">
        <v>5</v>
      </c>
      <c r="AH34" s="156">
        <v>0</v>
      </c>
      <c r="AI34" s="154">
        <v>68.52</v>
      </c>
      <c r="AJ34" s="155">
        <v>1</v>
      </c>
      <c r="AK34" s="250"/>
      <c r="AR34" s="255"/>
      <c r="AS34" s="157">
        <v>46065.628472222219</v>
      </c>
      <c r="AT34" s="154">
        <v>2.09</v>
      </c>
      <c r="AU34" s="155">
        <v>21</v>
      </c>
      <c r="AV34" s="156">
        <v>11.3</v>
      </c>
      <c r="AW34" s="155">
        <v>11</v>
      </c>
      <c r="AX34" s="156">
        <v>0.3</v>
      </c>
      <c r="AY34" s="154">
        <v>184.73</v>
      </c>
      <c r="AZ34" s="155">
        <v>5</v>
      </c>
      <c r="BA34" s="253"/>
      <c r="BG34" s="255"/>
      <c r="BH34" s="157">
        <v>46079.612500000003</v>
      </c>
      <c r="BI34" s="154">
        <v>2.6</v>
      </c>
      <c r="BJ34" s="155">
        <v>21</v>
      </c>
      <c r="BK34" s="156">
        <v>13.7</v>
      </c>
      <c r="BL34" s="155">
        <v>13</v>
      </c>
      <c r="BM34" s="156">
        <v>0.3</v>
      </c>
      <c r="BN34" s="154">
        <v>147.30000000000001</v>
      </c>
      <c r="BO34" s="155">
        <v>5</v>
      </c>
      <c r="BP34" s="253"/>
    </row>
    <row r="35" spans="2:68">
      <c r="B35" s="255"/>
      <c r="C35" s="153">
        <v>45905.614155092589</v>
      </c>
      <c r="D35" s="154">
        <v>16.97</v>
      </c>
      <c r="E35" s="155">
        <v>11</v>
      </c>
      <c r="F35" s="156">
        <v>0.1</v>
      </c>
      <c r="G35" s="155">
        <v>0</v>
      </c>
      <c r="H35" s="156">
        <v>0.1</v>
      </c>
      <c r="I35" s="154">
        <v>23.1</v>
      </c>
      <c r="J35" s="155">
        <v>0</v>
      </c>
      <c r="K35" s="257"/>
      <c r="O35" s="255"/>
      <c r="P35" s="153">
        <v>45968.636458333334</v>
      </c>
      <c r="Q35" s="154">
        <v>21.04</v>
      </c>
      <c r="R35" s="155">
        <v>0</v>
      </c>
      <c r="S35" s="156">
        <v>0.2</v>
      </c>
      <c r="T35" s="155">
        <v>0</v>
      </c>
      <c r="U35" s="156">
        <v>0.2</v>
      </c>
      <c r="V35" s="154">
        <v>0.28999999999999998</v>
      </c>
      <c r="W35" s="155">
        <v>0</v>
      </c>
      <c r="AB35" s="255"/>
      <c r="AC35" s="157">
        <v>46009.60833333333</v>
      </c>
      <c r="AD35" s="154">
        <v>13.03</v>
      </c>
      <c r="AE35" s="155">
        <v>6</v>
      </c>
      <c r="AF35" s="156">
        <v>4</v>
      </c>
      <c r="AG35" s="155">
        <v>4</v>
      </c>
      <c r="AH35" s="156">
        <v>0</v>
      </c>
      <c r="AI35" s="154">
        <v>47.09</v>
      </c>
      <c r="AJ35" s="155">
        <v>1</v>
      </c>
      <c r="AK35" s="250"/>
      <c r="AR35" s="255"/>
      <c r="AS35" s="157">
        <v>46065.629166666666</v>
      </c>
      <c r="AT35" s="154">
        <v>3.28</v>
      </c>
      <c r="AU35" s="155">
        <v>19</v>
      </c>
      <c r="AV35" s="156">
        <v>11.2</v>
      </c>
      <c r="AW35" s="155">
        <v>11</v>
      </c>
      <c r="AX35" s="156">
        <v>0.2</v>
      </c>
      <c r="AY35" s="154">
        <v>174.14</v>
      </c>
      <c r="AZ35" s="155">
        <v>5</v>
      </c>
      <c r="BA35" s="253"/>
      <c r="BG35" s="255"/>
      <c r="BH35" s="157">
        <v>46079.613194444442</v>
      </c>
      <c r="BI35" s="154">
        <v>1.72</v>
      </c>
      <c r="BJ35" s="155">
        <v>22</v>
      </c>
      <c r="BK35" s="156">
        <v>15.5</v>
      </c>
      <c r="BL35" s="155">
        <v>15</v>
      </c>
      <c r="BM35" s="156">
        <v>0.3</v>
      </c>
      <c r="BN35" s="154">
        <v>154.32</v>
      </c>
      <c r="BO35" s="155">
        <v>5</v>
      </c>
      <c r="BP35" s="253"/>
    </row>
    <row r="36" spans="2:68">
      <c r="B36" s="255"/>
      <c r="C36" s="153">
        <v>45905.614849537036</v>
      </c>
      <c r="D36" s="154">
        <v>16.91</v>
      </c>
      <c r="E36" s="155">
        <v>11</v>
      </c>
      <c r="F36" s="156">
        <v>0.2</v>
      </c>
      <c r="G36" s="155">
        <v>0</v>
      </c>
      <c r="H36" s="156">
        <v>0.2</v>
      </c>
      <c r="I36" s="154">
        <v>23.07</v>
      </c>
      <c r="J36" s="155">
        <v>0</v>
      </c>
      <c r="K36" s="257"/>
      <c r="O36" s="255"/>
      <c r="P36" s="153">
        <v>45968.637152777781</v>
      </c>
      <c r="Q36" s="154">
        <v>21.05</v>
      </c>
      <c r="R36" s="155">
        <v>0</v>
      </c>
      <c r="S36" s="156">
        <v>0.4</v>
      </c>
      <c r="T36" s="155">
        <v>0</v>
      </c>
      <c r="U36" s="156">
        <v>0.4</v>
      </c>
      <c r="V36" s="154">
        <v>0.12</v>
      </c>
      <c r="W36" s="155">
        <v>0</v>
      </c>
      <c r="AB36" s="255"/>
      <c r="AC36" s="157">
        <v>46009.609027777777</v>
      </c>
      <c r="AD36" s="154">
        <v>7.45</v>
      </c>
      <c r="AE36" s="155">
        <v>11</v>
      </c>
      <c r="AF36" s="156">
        <v>7.2</v>
      </c>
      <c r="AG36" s="155">
        <v>7</v>
      </c>
      <c r="AH36" s="156">
        <v>0.2</v>
      </c>
      <c r="AI36" s="154">
        <v>77.16</v>
      </c>
      <c r="AJ36" s="155">
        <v>1</v>
      </c>
      <c r="AK36" s="250"/>
      <c r="AR36" s="255"/>
      <c r="AS36" s="157">
        <v>46065.629861111112</v>
      </c>
      <c r="AT36" s="154">
        <v>4.7699999999999996</v>
      </c>
      <c r="AU36" s="155">
        <v>18</v>
      </c>
      <c r="AV36" s="156">
        <v>11.2</v>
      </c>
      <c r="AW36" s="155">
        <v>11</v>
      </c>
      <c r="AX36" s="156">
        <v>0.2</v>
      </c>
      <c r="AY36" s="154">
        <v>155.1</v>
      </c>
      <c r="AZ36" s="155">
        <v>5</v>
      </c>
      <c r="BA36" s="253"/>
      <c r="BG36" s="255"/>
      <c r="BH36" s="157">
        <v>46079.613888888889</v>
      </c>
      <c r="BI36" s="154">
        <v>4.67</v>
      </c>
      <c r="BJ36" s="155">
        <v>20</v>
      </c>
      <c r="BK36" s="156">
        <v>15.1</v>
      </c>
      <c r="BL36" s="155">
        <v>15</v>
      </c>
      <c r="BM36" s="156">
        <v>0.1</v>
      </c>
      <c r="BN36" s="154">
        <v>137.72999999999999</v>
      </c>
      <c r="BO36" s="155">
        <v>5</v>
      </c>
      <c r="BP36" s="253"/>
    </row>
    <row r="37" spans="2:68">
      <c r="B37" s="255"/>
      <c r="C37" s="153">
        <v>45905.615543981483</v>
      </c>
      <c r="D37" s="154">
        <v>12.84</v>
      </c>
      <c r="E37" s="155">
        <v>13</v>
      </c>
      <c r="F37" s="156">
        <v>1</v>
      </c>
      <c r="G37" s="155">
        <v>0</v>
      </c>
      <c r="H37" s="156">
        <v>1</v>
      </c>
      <c r="I37" s="154">
        <v>47.73</v>
      </c>
      <c r="J37" s="155">
        <v>1</v>
      </c>
      <c r="K37" s="257"/>
      <c r="O37" s="255"/>
      <c r="P37" s="153">
        <v>45968.63784722222</v>
      </c>
      <c r="Q37" s="154">
        <v>21.08</v>
      </c>
      <c r="R37" s="155">
        <v>0</v>
      </c>
      <c r="S37" s="156">
        <v>0.2</v>
      </c>
      <c r="T37" s="155">
        <v>0</v>
      </c>
      <c r="U37" s="156">
        <v>0.2</v>
      </c>
      <c r="V37" s="154">
        <v>0.14000000000000001</v>
      </c>
      <c r="W37" s="155">
        <v>0</v>
      </c>
      <c r="AB37" s="255"/>
      <c r="AC37" s="157">
        <v>46009.609722222223</v>
      </c>
      <c r="AD37" s="154">
        <v>6.7</v>
      </c>
      <c r="AE37" s="155">
        <v>13</v>
      </c>
      <c r="AF37" s="156">
        <v>7.9</v>
      </c>
      <c r="AG37" s="155">
        <v>7</v>
      </c>
      <c r="AH37" s="156">
        <v>0.9</v>
      </c>
      <c r="AI37" s="154">
        <v>81.36</v>
      </c>
      <c r="AJ37" s="155">
        <v>1</v>
      </c>
      <c r="AK37" s="250"/>
      <c r="AR37" s="255"/>
      <c r="AS37" s="157">
        <v>46065.630555555559</v>
      </c>
      <c r="AT37" s="154">
        <v>5.88</v>
      </c>
      <c r="AU37" s="155">
        <v>16</v>
      </c>
      <c r="AV37" s="156">
        <v>10.199999999999999</v>
      </c>
      <c r="AW37" s="155">
        <v>10</v>
      </c>
      <c r="AX37" s="156">
        <v>0.1</v>
      </c>
      <c r="AY37" s="154">
        <v>135.16999999999999</v>
      </c>
      <c r="AZ37" s="155">
        <v>5</v>
      </c>
      <c r="BA37" s="253"/>
      <c r="BG37" s="255"/>
      <c r="BH37" s="157">
        <v>46079.614583333336</v>
      </c>
      <c r="BI37" s="154">
        <v>15.15</v>
      </c>
      <c r="BJ37" s="155">
        <v>11</v>
      </c>
      <c r="BK37" s="156">
        <v>7</v>
      </c>
      <c r="BL37" s="155">
        <v>7</v>
      </c>
      <c r="BM37" s="156">
        <v>0</v>
      </c>
      <c r="BN37" s="154">
        <v>43.91</v>
      </c>
      <c r="BO37" s="155">
        <v>4</v>
      </c>
      <c r="BP37" s="253"/>
    </row>
    <row r="38" spans="2:68">
      <c r="B38" s="255"/>
      <c r="C38" s="153">
        <v>45905.616238425922</v>
      </c>
      <c r="D38" s="154">
        <v>9.39</v>
      </c>
      <c r="E38" s="155">
        <v>15</v>
      </c>
      <c r="F38" s="156">
        <v>0.6</v>
      </c>
      <c r="G38" s="155">
        <v>0</v>
      </c>
      <c r="H38" s="156">
        <v>0.6</v>
      </c>
      <c r="I38" s="154">
        <v>71.03</v>
      </c>
      <c r="J38" s="155">
        <v>0</v>
      </c>
      <c r="K38" s="257"/>
      <c r="O38" s="255"/>
      <c r="P38" s="153">
        <v>45968.638541666667</v>
      </c>
      <c r="Q38" s="154">
        <v>21.09</v>
      </c>
      <c r="R38" s="155">
        <v>0</v>
      </c>
      <c r="S38" s="156">
        <v>0.2</v>
      </c>
      <c r="T38" s="155">
        <v>0</v>
      </c>
      <c r="U38" s="156">
        <v>0.2</v>
      </c>
      <c r="V38" s="154">
        <v>0.1</v>
      </c>
      <c r="W38" s="155">
        <v>0</v>
      </c>
      <c r="AB38" s="255"/>
      <c r="AC38" s="157">
        <v>46009.61041666667</v>
      </c>
      <c r="AD38" s="154">
        <v>7.56</v>
      </c>
      <c r="AE38" s="155">
        <v>12</v>
      </c>
      <c r="AF38" s="156">
        <v>8</v>
      </c>
      <c r="AG38" s="155">
        <v>8</v>
      </c>
      <c r="AH38" s="156">
        <v>0</v>
      </c>
      <c r="AI38" s="154">
        <v>78.489999999999995</v>
      </c>
      <c r="AJ38" s="155">
        <v>1</v>
      </c>
      <c r="AK38" s="250"/>
      <c r="AR38" s="255"/>
      <c r="AS38" s="157">
        <v>46065.631249999999</v>
      </c>
      <c r="AT38" s="154">
        <v>6.68</v>
      </c>
      <c r="AU38" s="155">
        <v>15</v>
      </c>
      <c r="AV38" s="156">
        <v>10.199999999999999</v>
      </c>
      <c r="AW38" s="155">
        <v>10</v>
      </c>
      <c r="AX38" s="156">
        <v>0.2</v>
      </c>
      <c r="AY38" s="154">
        <v>120.42</v>
      </c>
      <c r="AZ38" s="155">
        <v>5</v>
      </c>
      <c r="BA38" s="253"/>
      <c r="BG38" s="255"/>
      <c r="BH38" s="157">
        <v>46079.615277777775</v>
      </c>
      <c r="BI38" s="154">
        <v>9.18</v>
      </c>
      <c r="BJ38" s="155">
        <v>14</v>
      </c>
      <c r="BK38" s="156">
        <v>10.1</v>
      </c>
      <c r="BL38" s="155">
        <v>9</v>
      </c>
      <c r="BM38" s="156">
        <v>0.9</v>
      </c>
      <c r="BN38" s="154">
        <v>74.37</v>
      </c>
      <c r="BO38" s="155">
        <v>5</v>
      </c>
      <c r="BP38" s="253"/>
    </row>
    <row r="39" spans="2:68">
      <c r="B39" s="152" t="s">
        <v>106</v>
      </c>
      <c r="C39" s="159"/>
      <c r="D39" s="158">
        <f>AVERAGE(D29:D38)</f>
        <v>11.599</v>
      </c>
      <c r="E39" s="159">
        <f t="shared" ref="E39:J39" si="10">AVERAGE(E29:E38)</f>
        <v>9.6999999999999993</v>
      </c>
      <c r="F39" s="160">
        <f t="shared" si="10"/>
        <v>0.22999999999999998</v>
      </c>
      <c r="G39" s="159">
        <f t="shared" si="10"/>
        <v>0</v>
      </c>
      <c r="H39" s="159">
        <f t="shared" si="10"/>
        <v>0.22999999999999998</v>
      </c>
      <c r="I39" s="158">
        <f t="shared" si="10"/>
        <v>53.883000000000003</v>
      </c>
      <c r="J39" s="159">
        <f t="shared" si="10"/>
        <v>0.1</v>
      </c>
      <c r="K39" s="258"/>
      <c r="O39" s="152" t="s">
        <v>106</v>
      </c>
      <c r="P39" s="159"/>
      <c r="Q39" s="158">
        <f>AVERAGE(Q29:Q38)</f>
        <v>20.943000000000005</v>
      </c>
      <c r="R39" s="161">
        <f t="shared" ref="R39:W39" si="11">AVERAGE(R29:R38)</f>
        <v>0.4</v>
      </c>
      <c r="S39" s="160">
        <f t="shared" si="11"/>
        <v>0.20999999999999996</v>
      </c>
      <c r="T39" s="159">
        <f t="shared" si="11"/>
        <v>0</v>
      </c>
      <c r="U39" s="160">
        <f t="shared" si="11"/>
        <v>0.20999999999999996</v>
      </c>
      <c r="V39" s="158">
        <f t="shared" si="11"/>
        <v>0.6369999999999999</v>
      </c>
      <c r="W39" s="159">
        <f t="shared" si="11"/>
        <v>0</v>
      </c>
      <c r="AB39" s="152" t="s">
        <v>106</v>
      </c>
      <c r="AC39" s="159"/>
      <c r="AD39" s="158">
        <f>AVERAGE(AD29:AD38)</f>
        <v>7.2750000000000004</v>
      </c>
      <c r="AE39" s="159">
        <f t="shared" ref="AE39:AJ39" si="12">AVERAGE(AE29:AE38)</f>
        <v>12.8</v>
      </c>
      <c r="AF39" s="160">
        <f t="shared" si="12"/>
        <v>5.57</v>
      </c>
      <c r="AG39" s="159">
        <f t="shared" si="12"/>
        <v>5.0999999999999996</v>
      </c>
      <c r="AH39" s="160">
        <f t="shared" si="12"/>
        <v>0.47000000000000003</v>
      </c>
      <c r="AI39" s="158">
        <v>77.063999999999993</v>
      </c>
      <c r="AJ39" s="159">
        <f t="shared" si="12"/>
        <v>1.3</v>
      </c>
      <c r="AK39" s="251"/>
      <c r="AR39" s="152" t="s">
        <v>106</v>
      </c>
      <c r="AS39" s="159"/>
      <c r="AT39" s="158">
        <f>AVERAGE(AT29:AT38)</f>
        <v>2.8959999999999999</v>
      </c>
      <c r="AU39" s="159">
        <f t="shared" ref="AU39:AZ39" si="13">AVERAGE(AU29:AU38)</f>
        <v>20.8</v>
      </c>
      <c r="AV39" s="160">
        <f t="shared" si="13"/>
        <v>9.9499999999999993</v>
      </c>
      <c r="AW39" s="159">
        <f t="shared" si="13"/>
        <v>9.6</v>
      </c>
      <c r="AX39" s="160">
        <f t="shared" si="13"/>
        <v>0.33</v>
      </c>
      <c r="AY39" s="158">
        <f t="shared" si="13"/>
        <v>170.09099999999998</v>
      </c>
      <c r="AZ39" s="159">
        <f t="shared" si="13"/>
        <v>5</v>
      </c>
      <c r="BA39" s="254"/>
      <c r="BG39" s="152" t="s">
        <v>106</v>
      </c>
      <c r="BH39" s="159"/>
      <c r="BI39" s="158">
        <f>AVERAGE(BI29:BI38)</f>
        <v>3.8439999999999999</v>
      </c>
      <c r="BJ39" s="159">
        <f t="shared" ref="BJ39:BO39" si="14">AVERAGE(BJ29:BJ38)</f>
        <v>21.9</v>
      </c>
      <c r="BK39" s="160">
        <f t="shared" si="14"/>
        <v>10.41</v>
      </c>
      <c r="BL39" s="159">
        <f t="shared" si="14"/>
        <v>9.9</v>
      </c>
      <c r="BM39" s="160">
        <f t="shared" si="14"/>
        <v>0.48</v>
      </c>
      <c r="BN39" s="158">
        <f t="shared" si="14"/>
        <v>131.07399999999998</v>
      </c>
      <c r="BO39" s="159">
        <f t="shared" si="14"/>
        <v>4.9000000000000004</v>
      </c>
      <c r="BP39" s="254"/>
    </row>
    <row r="40" spans="2:68">
      <c r="AB40" s="149"/>
    </row>
    <row r="41" spans="2:68">
      <c r="AB41" s="149"/>
    </row>
    <row r="42" spans="2:68">
      <c r="AB42" s="149"/>
    </row>
    <row r="43" spans="2:68">
      <c r="AB43" s="149"/>
    </row>
    <row r="44" spans="2:68">
      <c r="AB44" s="149"/>
    </row>
    <row r="45" spans="2:68">
      <c r="AB45" s="149"/>
    </row>
    <row r="46" spans="2:68">
      <c r="AB46" s="149"/>
    </row>
    <row r="47" spans="2:68">
      <c r="AB47" s="149"/>
    </row>
    <row r="48" spans="2:68">
      <c r="AB48" s="149"/>
    </row>
    <row r="49" spans="28:28">
      <c r="AB49" s="149"/>
    </row>
    <row r="50" spans="28:28">
      <c r="AB50" s="149"/>
    </row>
    <row r="51" spans="28:28">
      <c r="AB51" s="149"/>
    </row>
    <row r="52" spans="28:28">
      <c r="AB52" s="149"/>
    </row>
    <row r="53" spans="28:28">
      <c r="AB53" s="149"/>
    </row>
    <row r="54" spans="28:28">
      <c r="AB54" s="149"/>
    </row>
    <row r="55" spans="28:28">
      <c r="AB55" s="149"/>
    </row>
    <row r="56" spans="28:28">
      <c r="AB56" s="149"/>
    </row>
    <row r="57" spans="28:28">
      <c r="AB57" s="149"/>
    </row>
    <row r="58" spans="28:28">
      <c r="AB58" s="149"/>
    </row>
    <row r="59" spans="28:28">
      <c r="AB59" s="149"/>
    </row>
    <row r="60" spans="28:28">
      <c r="AB60" s="149"/>
    </row>
    <row r="61" spans="28:28">
      <c r="AB61" s="149"/>
    </row>
    <row r="62" spans="28:28">
      <c r="AB62" s="149"/>
    </row>
    <row r="63" spans="28:28">
      <c r="AB63" s="149"/>
    </row>
    <row r="64" spans="28:28">
      <c r="AB64" s="149"/>
    </row>
    <row r="65" spans="28:28">
      <c r="AB65" s="149"/>
    </row>
    <row r="66" spans="28:28">
      <c r="AB66" s="149"/>
    </row>
    <row r="67" spans="28:28">
      <c r="AB67" s="149"/>
    </row>
    <row r="68" spans="28:28">
      <c r="AB68" s="149"/>
    </row>
    <row r="69" spans="28:28">
      <c r="AB69" s="149"/>
    </row>
    <row r="70" spans="28:28">
      <c r="AB70" s="149"/>
    </row>
    <row r="71" spans="28:28">
      <c r="AB71" s="149"/>
    </row>
    <row r="72" spans="28:28">
      <c r="AB72" s="149"/>
    </row>
    <row r="73" spans="28:28">
      <c r="AB73" s="149"/>
    </row>
    <row r="74" spans="28:28">
      <c r="AB74" s="149"/>
    </row>
    <row r="75" spans="28:28">
      <c r="AB75" s="149"/>
    </row>
    <row r="76" spans="28:28">
      <c r="AB76" s="149"/>
    </row>
    <row r="77" spans="28:28">
      <c r="AB77" s="149"/>
    </row>
    <row r="78" spans="28:28">
      <c r="AB78" s="149"/>
    </row>
    <row r="79" spans="28:28">
      <c r="AB79" s="149"/>
    </row>
    <row r="80" spans="28:28">
      <c r="AB80" s="149"/>
    </row>
    <row r="81" spans="28:28">
      <c r="AB81" s="149"/>
    </row>
    <row r="82" spans="28:28">
      <c r="AB82" s="149"/>
    </row>
    <row r="83" spans="28:28">
      <c r="AB83" s="149"/>
    </row>
    <row r="84" spans="28:28">
      <c r="AB84" s="149"/>
    </row>
    <row r="85" spans="28:28">
      <c r="AB85" s="149"/>
    </row>
    <row r="86" spans="28:28">
      <c r="AB86" s="149"/>
    </row>
    <row r="87" spans="28:28">
      <c r="AB87" s="149"/>
    </row>
    <row r="88" spans="28:28">
      <c r="AB88" s="149"/>
    </row>
    <row r="89" spans="28:28">
      <c r="AB89" s="149"/>
    </row>
    <row r="90" spans="28:28">
      <c r="AB90" s="149"/>
    </row>
    <row r="91" spans="28:28">
      <c r="AB91" s="149"/>
    </row>
    <row r="92" spans="28:28">
      <c r="AB92" s="149"/>
    </row>
    <row r="93" spans="28:28">
      <c r="AB93" s="149"/>
    </row>
    <row r="94" spans="28:28">
      <c r="AB94" s="149"/>
    </row>
    <row r="95" spans="28:28">
      <c r="AB95" s="149"/>
    </row>
    <row r="96" spans="28:28">
      <c r="AB96" s="149"/>
    </row>
    <row r="97" spans="29:62" ht="21">
      <c r="AQ97" s="174" t="s">
        <v>109</v>
      </c>
      <c r="BH97" s="174" t="s">
        <v>109</v>
      </c>
    </row>
    <row r="100" spans="29:62">
      <c r="AC100" s="169"/>
      <c r="AQ100" s="170" t="s">
        <v>110</v>
      </c>
      <c r="AR100" s="170" t="s">
        <v>111</v>
      </c>
      <c r="AS100" s="170" t="s">
        <v>112</v>
      </c>
      <c r="BH100" s="170" t="s">
        <v>110</v>
      </c>
      <c r="BI100" s="170" t="s">
        <v>111</v>
      </c>
      <c r="BJ100" s="170" t="s">
        <v>112</v>
      </c>
    </row>
    <row r="101" spans="29:62">
      <c r="AQ101" s="171">
        <v>14.66</v>
      </c>
      <c r="AR101" s="171">
        <v>0.3</v>
      </c>
      <c r="AS101" s="171">
        <f>(AQ101-AR101)/AQ101 *100</f>
        <v>97.953615279672576</v>
      </c>
      <c r="BH101" s="171">
        <v>14.16</v>
      </c>
      <c r="BI101" s="171">
        <v>0.01</v>
      </c>
      <c r="BJ101" s="171">
        <f>(BH101-BI101)/BH101 *100</f>
        <v>99.929378531073439</v>
      </c>
    </row>
    <row r="102" spans="29:62">
      <c r="AQ102" s="171">
        <v>14.66</v>
      </c>
      <c r="AR102" s="171">
        <v>0.28000000000000003</v>
      </c>
      <c r="AS102" s="171">
        <f t="shared" ref="AS102:AS110" si="15">(AQ102-AR102)/AQ102 *100</f>
        <v>98.090040927694417</v>
      </c>
      <c r="BH102" s="171">
        <v>14.15</v>
      </c>
      <c r="BI102" s="171">
        <v>0.01</v>
      </c>
      <c r="BJ102" s="171">
        <f>(BH102-BI102)/BH102 *100</f>
        <v>99.929328621908127</v>
      </c>
    </row>
    <row r="103" spans="29:62">
      <c r="AQ103" s="171">
        <v>14.79</v>
      </c>
      <c r="AR103" s="171">
        <v>0.25</v>
      </c>
      <c r="AS103" s="171">
        <f t="shared" si="15"/>
        <v>98.309668695064232</v>
      </c>
      <c r="BH103" s="171">
        <v>13.99</v>
      </c>
      <c r="BI103" s="171">
        <v>0.01</v>
      </c>
      <c r="BJ103" s="171">
        <f t="shared" ref="BJ103:BJ110" si="16">(BH103-BI103)/BH103 *100</f>
        <v>99.928520371694077</v>
      </c>
    </row>
    <row r="104" spans="29:62">
      <c r="AQ104" s="171">
        <v>14.54</v>
      </c>
      <c r="AR104" s="171">
        <v>0.23</v>
      </c>
      <c r="AS104" s="171">
        <f t="shared" si="15"/>
        <v>98.418156808803303</v>
      </c>
      <c r="BH104" s="171">
        <v>14.16</v>
      </c>
      <c r="BI104" s="171">
        <v>0.01</v>
      </c>
      <c r="BJ104" s="171">
        <f t="shared" si="16"/>
        <v>99.929378531073439</v>
      </c>
    </row>
    <row r="105" spans="29:62">
      <c r="AQ105" s="171">
        <v>14.6</v>
      </c>
      <c r="AR105" s="171">
        <v>0.21</v>
      </c>
      <c r="AS105" s="171">
        <f t="shared" si="15"/>
        <v>98.561643835616437</v>
      </c>
      <c r="BH105" s="171">
        <v>13.88</v>
      </c>
      <c r="BI105" s="171">
        <v>0.01</v>
      </c>
      <c r="BJ105" s="171">
        <f t="shared" si="16"/>
        <v>99.927953890489917</v>
      </c>
    </row>
    <row r="106" spans="29:62">
      <c r="AQ106" s="171">
        <v>14.45</v>
      </c>
      <c r="AR106" s="171">
        <v>0.2</v>
      </c>
      <c r="AS106" s="171">
        <f t="shared" si="15"/>
        <v>98.615916955017298</v>
      </c>
      <c r="BH106" s="171">
        <v>13.91</v>
      </c>
      <c r="BI106" s="171">
        <v>0.01</v>
      </c>
      <c r="BJ106" s="171">
        <f t="shared" si="16"/>
        <v>99.928109273903658</v>
      </c>
    </row>
    <row r="107" spans="29:62">
      <c r="AQ107" s="171">
        <v>14.32</v>
      </c>
      <c r="AR107" s="171">
        <v>0.18</v>
      </c>
      <c r="AS107" s="171">
        <f t="shared" si="15"/>
        <v>98.743016759776538</v>
      </c>
      <c r="BH107" s="171">
        <v>14.05</v>
      </c>
      <c r="BI107" s="171">
        <v>0.01</v>
      </c>
      <c r="BJ107" s="171">
        <f t="shared" si="16"/>
        <v>99.928825622775804</v>
      </c>
    </row>
    <row r="108" spans="29:62">
      <c r="AQ108" s="171">
        <v>14.36</v>
      </c>
      <c r="AR108" s="171">
        <v>0.16</v>
      </c>
      <c r="AS108" s="171">
        <f t="shared" si="15"/>
        <v>98.885793871866284</v>
      </c>
      <c r="BH108" s="171">
        <v>14.13</v>
      </c>
      <c r="BI108" s="171">
        <v>0.01</v>
      </c>
      <c r="BJ108" s="171">
        <f t="shared" si="16"/>
        <v>99.929228591648979</v>
      </c>
    </row>
    <row r="109" spans="29:62">
      <c r="AQ109" s="171">
        <v>14.55</v>
      </c>
      <c r="AR109" s="171">
        <v>0.15</v>
      </c>
      <c r="AS109" s="171">
        <f t="shared" si="15"/>
        <v>98.969072164948443</v>
      </c>
      <c r="BH109" s="171">
        <v>14.29</v>
      </c>
      <c r="BI109" s="171">
        <v>0.01</v>
      </c>
      <c r="BJ109" s="171">
        <f t="shared" si="16"/>
        <v>99.930020993701902</v>
      </c>
    </row>
    <row r="110" spans="29:62">
      <c r="AQ110" s="171">
        <v>14.55</v>
      </c>
      <c r="AR110" s="171">
        <v>0.13</v>
      </c>
      <c r="AS110" s="171">
        <f t="shared" si="15"/>
        <v>99.106529209621982</v>
      </c>
      <c r="BH110" s="171">
        <v>14.33</v>
      </c>
      <c r="BI110" s="171">
        <v>0.01</v>
      </c>
      <c r="BJ110" s="171">
        <f t="shared" si="16"/>
        <v>99.930216329378936</v>
      </c>
    </row>
    <row r="111" spans="29:62" ht="21" thickBot="1">
      <c r="AP111" s="175" t="s">
        <v>113</v>
      </c>
      <c r="AQ111" s="172"/>
      <c r="AR111" s="172"/>
      <c r="AS111" s="173">
        <f>AVERAGE(AS101:AS110)</f>
        <v>98.565345450808167</v>
      </c>
      <c r="BG111" s="175" t="s">
        <v>113</v>
      </c>
      <c r="BH111" s="172"/>
      <c r="BI111" s="172"/>
      <c r="BJ111" s="173">
        <f>AVERAGE(BJ101:BJ110)</f>
        <v>99.929096075764818</v>
      </c>
    </row>
    <row r="112" spans="29:62" ht="18.600000000000001" thickTop="1"/>
  </sheetData>
  <mergeCells count="27">
    <mergeCell ref="O2:O12"/>
    <mergeCell ref="O15:O25"/>
    <mergeCell ref="O28:O38"/>
    <mergeCell ref="AB2:AB12"/>
    <mergeCell ref="AK3:AK13"/>
    <mergeCell ref="AB15:AB25"/>
    <mergeCell ref="AK16:AK26"/>
    <mergeCell ref="AB28:AB38"/>
    <mergeCell ref="AK29:AK39"/>
    <mergeCell ref="B2:B12"/>
    <mergeCell ref="K3:K13"/>
    <mergeCell ref="B15:B25"/>
    <mergeCell ref="K16:K26"/>
    <mergeCell ref="B28:B38"/>
    <mergeCell ref="K29:K39"/>
    <mergeCell ref="AR2:AR12"/>
    <mergeCell ref="BA3:BA13"/>
    <mergeCell ref="AR15:AR25"/>
    <mergeCell ref="BA16:BA26"/>
    <mergeCell ref="AR28:AR38"/>
    <mergeCell ref="BA29:BA39"/>
    <mergeCell ref="BP3:BP13"/>
    <mergeCell ref="BP16:BP26"/>
    <mergeCell ref="BP29:BP39"/>
    <mergeCell ref="BG2:BG12"/>
    <mergeCell ref="BG15:BG25"/>
    <mergeCell ref="BG28:BG3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7ADD-C7C6-4156-8F9D-536453B2D3AF}">
  <dimension ref="A1"/>
  <sheetViews>
    <sheetView zoomScale="40" zoomScaleNormal="40" workbookViewId="0">
      <selection activeCell="AA18" sqref="AA18"/>
    </sheetView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54B9-60C6-4713-94EE-7E3F4EF101CF}">
  <dimension ref="A1:AB993"/>
  <sheetViews>
    <sheetView showGridLines="0" zoomScale="40" zoomScaleNormal="40" workbookViewId="0">
      <pane ySplit="4" topLeftCell="A51" activePane="bottomLeft" state="frozen"/>
      <selection activeCell="AN52" sqref="AN52"/>
      <selection pane="bottomLeft" activeCell="A37" sqref="A37:U37"/>
    </sheetView>
  </sheetViews>
  <sheetFormatPr defaultColWidth="12.6640625" defaultRowHeight="15" customHeight="1"/>
  <cols>
    <col min="1" max="1" width="17.109375" customWidth="1"/>
    <col min="2" max="3" width="14.44140625" customWidth="1"/>
    <col min="4" max="4" width="13.6640625" bestFit="1" customWidth="1"/>
    <col min="5" max="12" width="14.44140625" customWidth="1"/>
    <col min="13" max="13" width="62.6640625" bestFit="1" customWidth="1"/>
    <col min="14" max="14" width="62.6640625" customWidth="1"/>
    <col min="15" max="15" width="14.6640625" customWidth="1"/>
    <col min="16" max="20" width="14.44140625" customWidth="1"/>
    <col min="21" max="21" width="18.88671875" bestFit="1" customWidth="1"/>
    <col min="22" max="26" width="8.6640625" customWidth="1"/>
  </cols>
  <sheetData>
    <row r="1" spans="1:24" ht="16.5" customHeight="1">
      <c r="A1" s="82" t="s">
        <v>45</v>
      </c>
      <c r="C1" s="39"/>
    </row>
    <row r="2" spans="1:24" ht="16.5" customHeight="1" thickBot="1"/>
    <row r="3" spans="1:24" ht="21">
      <c r="B3" s="280" t="s">
        <v>1</v>
      </c>
      <c r="C3" s="281" t="s">
        <v>2</v>
      </c>
      <c r="D3" s="281" t="s">
        <v>46</v>
      </c>
      <c r="E3" s="279" t="s">
        <v>4</v>
      </c>
      <c r="F3" s="267"/>
      <c r="G3" s="267"/>
      <c r="H3" s="268"/>
      <c r="I3" s="269" t="s">
        <v>5</v>
      </c>
      <c r="J3" s="267"/>
      <c r="K3" s="267"/>
      <c r="L3" s="268"/>
      <c r="M3" s="270" t="s">
        <v>6</v>
      </c>
      <c r="N3" s="267"/>
      <c r="O3" s="268"/>
      <c r="P3" s="271" t="s">
        <v>7</v>
      </c>
      <c r="Q3" s="267"/>
      <c r="R3" s="267"/>
      <c r="S3" s="267"/>
      <c r="T3" s="267"/>
      <c r="U3" s="272"/>
    </row>
    <row r="4" spans="1:24" ht="189">
      <c r="B4" s="263"/>
      <c r="C4" s="265"/>
      <c r="D4" s="265"/>
      <c r="E4" s="201" t="s">
        <v>8</v>
      </c>
      <c r="F4" s="202" t="s">
        <v>9</v>
      </c>
      <c r="G4" s="202" t="s">
        <v>10</v>
      </c>
      <c r="H4" s="2" t="s">
        <v>11</v>
      </c>
      <c r="I4" s="203" t="s">
        <v>8</v>
      </c>
      <c r="J4" s="204" t="s">
        <v>9</v>
      </c>
      <c r="K4" s="204" t="s">
        <v>10</v>
      </c>
      <c r="L4" s="3" t="s">
        <v>11</v>
      </c>
      <c r="M4" s="210" t="s">
        <v>114</v>
      </c>
      <c r="N4" s="210" t="s">
        <v>115</v>
      </c>
      <c r="O4" s="4" t="s">
        <v>14</v>
      </c>
      <c r="P4" s="205" t="s">
        <v>8</v>
      </c>
      <c r="Q4" s="206" t="s">
        <v>9</v>
      </c>
      <c r="R4" s="206" t="s">
        <v>10</v>
      </c>
      <c r="S4" s="84" t="s">
        <v>11</v>
      </c>
      <c r="T4" s="221" t="s">
        <v>116</v>
      </c>
      <c r="U4" s="85" t="s">
        <v>33</v>
      </c>
    </row>
    <row r="5" spans="1:24" ht="16.5" customHeight="1">
      <c r="A5" s="141">
        <v>46049</v>
      </c>
      <c r="B5" s="104">
        <v>1</v>
      </c>
      <c r="C5" s="105">
        <v>0.2048611111111111</v>
      </c>
      <c r="D5" s="223">
        <f>C5</f>
        <v>0.2048611111111111</v>
      </c>
      <c r="E5" s="142">
        <v>26.549999999999944</v>
      </c>
      <c r="F5" s="142">
        <v>11.80710526315786</v>
      </c>
      <c r="G5" s="142">
        <v>38</v>
      </c>
      <c r="H5" s="107">
        <f t="shared" ref="H5:H38" si="0">ROUND(E5*F5*1.84*(G5/60)*0.01,2)</f>
        <v>3.65</v>
      </c>
      <c r="I5" s="144">
        <v>11.710526315789474</v>
      </c>
      <c r="J5" s="142">
        <v>4.8421052631578941E-2</v>
      </c>
      <c r="K5" s="142">
        <v>38</v>
      </c>
      <c r="L5" s="109">
        <f t="shared" ref="L5:L38" si="1">I5*J5*1.84*(K5/60)*0.01</f>
        <v>6.6078596491228074E-3</v>
      </c>
      <c r="M5" s="224">
        <f t="shared" ref="M5:M38" si="2">H5-L5</f>
        <v>3.6433921403508771</v>
      </c>
      <c r="N5" s="224">
        <f>M5</f>
        <v>3.6433921403508771</v>
      </c>
      <c r="O5" s="110">
        <f t="shared" ref="O5:O38" si="3">ROUND(M5/H5*100,2)</f>
        <v>99.82</v>
      </c>
      <c r="P5" s="144">
        <v>3.3</v>
      </c>
      <c r="Q5" s="147">
        <v>100</v>
      </c>
      <c r="R5" s="143">
        <v>5</v>
      </c>
      <c r="S5" s="146">
        <v>0.51</v>
      </c>
      <c r="T5" s="114">
        <f>S5</f>
        <v>0.51</v>
      </c>
      <c r="U5" s="115">
        <f>IFERROR(ROUND(S5/M5 *100,2),0)</f>
        <v>14</v>
      </c>
      <c r="W5" s="123"/>
      <c r="X5" s="123"/>
    </row>
    <row r="6" spans="1:24" ht="16.5" customHeight="1">
      <c r="A6" s="141">
        <v>46050</v>
      </c>
      <c r="B6" s="104">
        <v>2</v>
      </c>
      <c r="C6" s="105">
        <v>0.13402777777777775</v>
      </c>
      <c r="D6" s="226">
        <f t="shared" ref="D6:D38" si="4">D5+C6</f>
        <v>0.33888888888888885</v>
      </c>
      <c r="E6" s="142">
        <v>16.666666666666661</v>
      </c>
      <c r="F6" s="142">
        <v>12.885238095238131</v>
      </c>
      <c r="G6" s="142">
        <v>21</v>
      </c>
      <c r="H6" s="107">
        <f t="shared" si="0"/>
        <v>1.38</v>
      </c>
      <c r="I6" s="144">
        <v>11.666666666666666</v>
      </c>
      <c r="J6" s="142">
        <v>0.88952380952380961</v>
      </c>
      <c r="K6" s="142">
        <v>21</v>
      </c>
      <c r="L6" s="109">
        <f t="shared" si="1"/>
        <v>6.6832888888888886E-2</v>
      </c>
      <c r="M6" s="224">
        <f t="shared" si="2"/>
        <v>1.313167111111111</v>
      </c>
      <c r="N6" s="225">
        <f t="shared" ref="N6:N38" si="5">N5+M6</f>
        <v>4.9565592514619876</v>
      </c>
      <c r="O6" s="110">
        <f t="shared" si="3"/>
        <v>95.16</v>
      </c>
      <c r="P6" s="144">
        <v>0.47111111111111115</v>
      </c>
      <c r="Q6" s="147">
        <v>100</v>
      </c>
      <c r="R6" s="143">
        <v>45</v>
      </c>
      <c r="S6" s="146">
        <v>0.65</v>
      </c>
      <c r="T6" s="114">
        <f t="shared" ref="T6:T38" si="6">T5+S6</f>
        <v>1.1600000000000001</v>
      </c>
      <c r="U6" s="115">
        <v>4.7699999999999996</v>
      </c>
      <c r="X6" s="123"/>
    </row>
    <row r="7" spans="1:24" ht="16.5" customHeight="1">
      <c r="A7" s="141">
        <v>46051</v>
      </c>
      <c r="B7" s="104">
        <v>3</v>
      </c>
      <c r="C7" s="105">
        <v>0.18263888888888885</v>
      </c>
      <c r="D7" s="227">
        <f t="shared" si="4"/>
        <v>0.5215277777777777</v>
      </c>
      <c r="E7" s="142">
        <v>25.422222222222217</v>
      </c>
      <c r="F7" s="142">
        <v>12.929999999999991</v>
      </c>
      <c r="G7" s="142">
        <v>9</v>
      </c>
      <c r="H7" s="107">
        <f t="shared" si="0"/>
        <v>0.91</v>
      </c>
      <c r="I7" s="144">
        <v>11.333333333333334</v>
      </c>
      <c r="J7" s="142">
        <v>0.12222222222222225</v>
      </c>
      <c r="K7" s="142">
        <v>9</v>
      </c>
      <c r="L7" s="109">
        <f t="shared" si="1"/>
        <v>3.8231111111111122E-3</v>
      </c>
      <c r="M7" s="224">
        <f t="shared" si="2"/>
        <v>0.90617688888888892</v>
      </c>
      <c r="N7" s="225">
        <f t="shared" si="5"/>
        <v>5.8627361403508766</v>
      </c>
      <c r="O7" s="110">
        <f t="shared" si="3"/>
        <v>99.58</v>
      </c>
      <c r="P7" s="144">
        <v>0</v>
      </c>
      <c r="Q7" s="142">
        <v>0</v>
      </c>
      <c r="R7" s="142">
        <v>0</v>
      </c>
      <c r="S7" s="146">
        <v>0</v>
      </c>
      <c r="T7" s="114">
        <f t="shared" si="6"/>
        <v>1.1600000000000001</v>
      </c>
      <c r="U7" s="115">
        <f t="shared" ref="U7:U38" si="7">IFERROR(ROUND(S7/M7 *100,2),0)</f>
        <v>0</v>
      </c>
    </row>
    <row r="8" spans="1:24" ht="16.5" customHeight="1">
      <c r="A8" s="141">
        <v>46055</v>
      </c>
      <c r="B8" s="104">
        <v>4</v>
      </c>
      <c r="C8" s="105">
        <v>0.23541666666666666</v>
      </c>
      <c r="D8" s="227">
        <f t="shared" si="4"/>
        <v>0.75694444444444442</v>
      </c>
      <c r="E8" s="142">
        <v>20.938181818181729</v>
      </c>
      <c r="F8" s="142">
        <v>13</v>
      </c>
      <c r="G8" s="142">
        <v>110</v>
      </c>
      <c r="H8" s="107">
        <f t="shared" si="0"/>
        <v>9.18</v>
      </c>
      <c r="I8" s="144">
        <v>11.563636363636364</v>
      </c>
      <c r="J8" s="142">
        <v>1.2636363636363637E-2</v>
      </c>
      <c r="K8" s="142">
        <v>110</v>
      </c>
      <c r="L8" s="109">
        <f t="shared" si="1"/>
        <v>4.9291927272727279E-3</v>
      </c>
      <c r="M8" s="224">
        <f t="shared" si="2"/>
        <v>9.1750708072727267</v>
      </c>
      <c r="N8" s="225">
        <f t="shared" si="5"/>
        <v>15.037806947623604</v>
      </c>
      <c r="O8" s="110">
        <f t="shared" si="3"/>
        <v>99.95</v>
      </c>
      <c r="P8" s="144">
        <v>4.3454545454545448</v>
      </c>
      <c r="Q8" s="147">
        <v>99.320909090909083</v>
      </c>
      <c r="R8" s="143">
        <v>11</v>
      </c>
      <c r="S8" s="146">
        <v>1.46</v>
      </c>
      <c r="T8" s="114">
        <f t="shared" si="6"/>
        <v>2.62</v>
      </c>
      <c r="U8" s="115">
        <f t="shared" si="7"/>
        <v>15.91</v>
      </c>
    </row>
    <row r="9" spans="1:24" ht="16.5" customHeight="1">
      <c r="A9" s="141">
        <v>46056</v>
      </c>
      <c r="B9" s="104">
        <v>5</v>
      </c>
      <c r="C9" s="105">
        <v>0.17291666666666661</v>
      </c>
      <c r="D9" s="227">
        <f t="shared" si="4"/>
        <v>0.92986111111111103</v>
      </c>
      <c r="E9" s="142">
        <v>15.26923076923072</v>
      </c>
      <c r="F9" s="142">
        <v>12.507884615384622</v>
      </c>
      <c r="G9" s="142">
        <v>52</v>
      </c>
      <c r="H9" s="107">
        <v>2.0099999999999998</v>
      </c>
      <c r="I9" s="144">
        <v>15</v>
      </c>
      <c r="J9" s="142">
        <v>3.096153846153846E-2</v>
      </c>
      <c r="K9" s="142">
        <v>52</v>
      </c>
      <c r="L9" s="109">
        <f t="shared" si="1"/>
        <v>7.4059999999999994E-3</v>
      </c>
      <c r="M9" s="224">
        <f t="shared" si="2"/>
        <v>2.0025939999999998</v>
      </c>
      <c r="N9" s="225">
        <f t="shared" si="5"/>
        <v>17.040400947623603</v>
      </c>
      <c r="O9" s="110">
        <f t="shared" si="3"/>
        <v>99.63</v>
      </c>
      <c r="P9" s="144" t="s">
        <v>18</v>
      </c>
      <c r="Q9" s="147" t="s">
        <v>18</v>
      </c>
      <c r="R9" s="143" t="s">
        <v>18</v>
      </c>
      <c r="S9" s="146">
        <v>0</v>
      </c>
      <c r="T9" s="114">
        <f t="shared" si="6"/>
        <v>2.62</v>
      </c>
      <c r="U9" s="115">
        <f t="shared" si="7"/>
        <v>0</v>
      </c>
    </row>
    <row r="10" spans="1:24" ht="16.5" customHeight="1">
      <c r="A10" s="141">
        <v>46057</v>
      </c>
      <c r="B10" s="104">
        <v>6</v>
      </c>
      <c r="C10" s="105">
        <v>0.21944444444444444</v>
      </c>
      <c r="D10" s="227">
        <f t="shared" si="4"/>
        <v>1.1493055555555554</v>
      </c>
      <c r="E10" s="142">
        <v>15.39999999999999</v>
      </c>
      <c r="F10" s="142">
        <v>13.014807692307738</v>
      </c>
      <c r="G10" s="142">
        <v>52</v>
      </c>
      <c r="H10" s="107">
        <f t="shared" si="0"/>
        <v>3.2</v>
      </c>
      <c r="I10" s="144">
        <v>13.923076923076923</v>
      </c>
      <c r="J10" s="142">
        <v>3.865384615384615E-2</v>
      </c>
      <c r="K10" s="142">
        <v>52</v>
      </c>
      <c r="L10" s="109">
        <f t="shared" si="1"/>
        <v>8.5821846153846144E-3</v>
      </c>
      <c r="M10" s="224">
        <f t="shared" si="2"/>
        <v>3.1914178153846158</v>
      </c>
      <c r="N10" s="225">
        <f t="shared" si="5"/>
        <v>20.231818763008217</v>
      </c>
      <c r="O10" s="110">
        <f t="shared" si="3"/>
        <v>99.73</v>
      </c>
      <c r="P10" s="144">
        <v>5.7857142857142856</v>
      </c>
      <c r="Q10" s="147">
        <v>99.76428571428572</v>
      </c>
      <c r="R10" s="143">
        <v>7</v>
      </c>
      <c r="S10" s="146">
        <v>1.24</v>
      </c>
      <c r="T10" s="114">
        <f t="shared" si="6"/>
        <v>3.8600000000000003</v>
      </c>
      <c r="U10" s="115">
        <f t="shared" si="7"/>
        <v>38.85</v>
      </c>
    </row>
    <row r="11" spans="1:24" ht="16.5" customHeight="1">
      <c r="A11" s="141">
        <v>46058</v>
      </c>
      <c r="B11" s="104">
        <v>7</v>
      </c>
      <c r="C11" s="105">
        <v>0.19861111111111113</v>
      </c>
      <c r="D11" s="227">
        <f t="shared" si="4"/>
        <v>1.3479166666666664</v>
      </c>
      <c r="E11" s="142">
        <v>23.320312500000085</v>
      </c>
      <c r="F11" s="142">
        <v>12.901093750000015</v>
      </c>
      <c r="G11" s="142">
        <v>64</v>
      </c>
      <c r="H11" s="107">
        <f t="shared" si="0"/>
        <v>5.9</v>
      </c>
      <c r="I11" s="144">
        <v>13</v>
      </c>
      <c r="J11" s="142">
        <v>4.0312499999999994E-2</v>
      </c>
      <c r="K11" s="142">
        <v>64</v>
      </c>
      <c r="L11" s="109">
        <f t="shared" si="1"/>
        <v>1.0285599999999997E-2</v>
      </c>
      <c r="M11" s="224">
        <f t="shared" si="2"/>
        <v>5.8897144000000008</v>
      </c>
      <c r="N11" s="225">
        <f t="shared" si="5"/>
        <v>26.121533163008216</v>
      </c>
      <c r="O11" s="110">
        <f t="shared" si="3"/>
        <v>99.83</v>
      </c>
      <c r="P11" s="144">
        <v>4.125</v>
      </c>
      <c r="Q11" s="147">
        <v>97.515000000000001</v>
      </c>
      <c r="R11" s="143">
        <v>12</v>
      </c>
      <c r="S11" s="146">
        <v>1.48</v>
      </c>
      <c r="T11" s="114">
        <f t="shared" si="6"/>
        <v>5.34</v>
      </c>
      <c r="U11" s="115">
        <f t="shared" si="7"/>
        <v>25.13</v>
      </c>
    </row>
    <row r="12" spans="1:24" ht="16.5" customHeight="1">
      <c r="A12" s="141">
        <v>46059</v>
      </c>
      <c r="B12" s="104">
        <v>8</v>
      </c>
      <c r="C12" s="105">
        <v>0.27430555555555558</v>
      </c>
      <c r="D12" s="227">
        <f t="shared" si="4"/>
        <v>1.622222222222222</v>
      </c>
      <c r="E12" s="142">
        <v>27.169230769230737</v>
      </c>
      <c r="F12" s="142">
        <v>12.3900000000001</v>
      </c>
      <c r="G12" s="142">
        <v>52</v>
      </c>
      <c r="H12" s="107">
        <f t="shared" si="0"/>
        <v>5.37</v>
      </c>
      <c r="I12" s="144">
        <v>13.807692307692308</v>
      </c>
      <c r="J12" s="142">
        <v>2.5576923076923077E-2</v>
      </c>
      <c r="K12" s="142">
        <v>52</v>
      </c>
      <c r="L12" s="109">
        <f t="shared" si="1"/>
        <v>5.6316974358974368E-3</v>
      </c>
      <c r="M12" s="224">
        <f t="shared" si="2"/>
        <v>5.3643683025641025</v>
      </c>
      <c r="N12" s="225">
        <f t="shared" si="5"/>
        <v>31.485901465572319</v>
      </c>
      <c r="O12" s="110">
        <f t="shared" si="3"/>
        <v>99.9</v>
      </c>
      <c r="P12" s="144">
        <v>2.6466666666666669</v>
      </c>
      <c r="Q12" s="147">
        <v>99.460666666666668</v>
      </c>
      <c r="R12" s="143">
        <v>15</v>
      </c>
      <c r="S12" s="146">
        <v>1.21</v>
      </c>
      <c r="T12" s="114">
        <f t="shared" si="6"/>
        <v>6.55</v>
      </c>
      <c r="U12" s="115">
        <f t="shared" si="7"/>
        <v>22.56</v>
      </c>
    </row>
    <row r="13" spans="1:24" ht="16.5" customHeight="1">
      <c r="A13" s="141">
        <v>46062</v>
      </c>
      <c r="B13" s="104">
        <v>9</v>
      </c>
      <c r="C13" s="105">
        <v>0.25625000000000003</v>
      </c>
      <c r="D13" s="227">
        <f t="shared" si="4"/>
        <v>1.8784722222222221</v>
      </c>
      <c r="E13" s="142">
        <v>22.317460317460363</v>
      </c>
      <c r="F13" s="142">
        <v>12.488253968254048</v>
      </c>
      <c r="G13" s="142">
        <v>63</v>
      </c>
      <c r="H13" s="107">
        <f t="shared" si="0"/>
        <v>5.38</v>
      </c>
      <c r="I13" s="144">
        <v>13.476190476190476</v>
      </c>
      <c r="J13" s="142">
        <v>2.7619047619047619E-2</v>
      </c>
      <c r="K13" s="142">
        <v>63</v>
      </c>
      <c r="L13" s="109">
        <f t="shared" si="1"/>
        <v>7.1908952380952389E-3</v>
      </c>
      <c r="M13" s="224">
        <f t="shared" si="2"/>
        <v>5.3728091047619051</v>
      </c>
      <c r="N13" s="225">
        <f t="shared" si="5"/>
        <v>36.858710570334225</v>
      </c>
      <c r="O13" s="110">
        <f t="shared" si="3"/>
        <v>99.87</v>
      </c>
      <c r="P13" s="144">
        <v>2.5466666666666677</v>
      </c>
      <c r="Q13" s="142">
        <v>56.583388888889111</v>
      </c>
      <c r="R13" s="142">
        <v>30</v>
      </c>
      <c r="S13" s="146">
        <v>1.33</v>
      </c>
      <c r="T13" s="114">
        <f t="shared" si="6"/>
        <v>7.88</v>
      </c>
      <c r="U13" s="115">
        <f t="shared" si="7"/>
        <v>24.75</v>
      </c>
    </row>
    <row r="14" spans="1:24" ht="16.5" customHeight="1">
      <c r="A14" s="141">
        <v>46063</v>
      </c>
      <c r="B14" s="104">
        <v>10</v>
      </c>
      <c r="C14" s="105">
        <v>0.15000000000000002</v>
      </c>
      <c r="D14" s="227">
        <f t="shared" si="4"/>
        <v>2.0284722222222222</v>
      </c>
      <c r="E14" s="106">
        <v>24.038983050847495</v>
      </c>
      <c r="F14" s="106">
        <v>12.311355932203433</v>
      </c>
      <c r="G14" s="106">
        <v>59</v>
      </c>
      <c r="H14" s="107">
        <f t="shared" si="0"/>
        <v>5.35</v>
      </c>
      <c r="I14" s="108">
        <v>13.677966101694915</v>
      </c>
      <c r="J14" s="106">
        <v>2.1864406779661019E-2</v>
      </c>
      <c r="K14" s="106">
        <v>59</v>
      </c>
      <c r="L14" s="109">
        <f t="shared" si="1"/>
        <v>5.4110033898305092E-3</v>
      </c>
      <c r="M14" s="224">
        <f t="shared" si="2"/>
        <v>5.3445889966101694</v>
      </c>
      <c r="N14" s="225">
        <f t="shared" si="5"/>
        <v>42.203299566944395</v>
      </c>
      <c r="O14" s="110">
        <f t="shared" si="3"/>
        <v>99.9</v>
      </c>
      <c r="P14" s="108">
        <v>1.8076923076923077</v>
      </c>
      <c r="Q14" s="106">
        <v>79.864006410256323</v>
      </c>
      <c r="R14" s="106">
        <v>52</v>
      </c>
      <c r="S14" s="113">
        <v>2.2999999999999998</v>
      </c>
      <c r="T14" s="114">
        <f t="shared" si="6"/>
        <v>10.18</v>
      </c>
      <c r="U14" s="115">
        <f t="shared" si="7"/>
        <v>43.03</v>
      </c>
    </row>
    <row r="15" spans="1:24" ht="16.5" customHeight="1">
      <c r="A15" s="141">
        <v>46064</v>
      </c>
      <c r="B15" s="104">
        <v>11</v>
      </c>
      <c r="C15" s="105">
        <v>0.26805555555555549</v>
      </c>
      <c r="D15" s="227">
        <f t="shared" si="4"/>
        <v>2.2965277777777775</v>
      </c>
      <c r="E15" s="106">
        <v>23.09852941176468</v>
      </c>
      <c r="F15" s="106">
        <v>12.578529411764729</v>
      </c>
      <c r="G15" s="106">
        <v>68</v>
      </c>
      <c r="H15" s="107">
        <f t="shared" si="0"/>
        <v>6.06</v>
      </c>
      <c r="I15" s="108">
        <v>11.882352941176471</v>
      </c>
      <c r="J15" s="106">
        <v>3.9705882352941174E-2</v>
      </c>
      <c r="K15" s="106">
        <v>68</v>
      </c>
      <c r="L15" s="109">
        <f t="shared" si="1"/>
        <v>9.8385882352941181E-3</v>
      </c>
      <c r="M15" s="224">
        <f t="shared" si="2"/>
        <v>6.0501614117647051</v>
      </c>
      <c r="N15" s="225">
        <f t="shared" si="5"/>
        <v>48.2534609787091</v>
      </c>
      <c r="O15" s="110">
        <f t="shared" si="3"/>
        <v>99.84</v>
      </c>
      <c r="P15" s="108">
        <v>0.66730769230769205</v>
      </c>
      <c r="Q15" s="106">
        <v>55.612532051281974</v>
      </c>
      <c r="R15" s="112">
        <v>104</v>
      </c>
      <c r="S15" s="113">
        <v>1.18</v>
      </c>
      <c r="T15" s="114">
        <f t="shared" si="6"/>
        <v>11.36</v>
      </c>
      <c r="U15" s="115">
        <f t="shared" si="7"/>
        <v>19.5</v>
      </c>
    </row>
    <row r="16" spans="1:24" ht="16.5" customHeight="1">
      <c r="A16" s="141">
        <v>46065</v>
      </c>
      <c r="B16" s="104">
        <v>12</v>
      </c>
      <c r="C16" s="105">
        <v>0.32430555555555557</v>
      </c>
      <c r="D16" s="227">
        <f t="shared" si="4"/>
        <v>2.6208333333333331</v>
      </c>
      <c r="E16" s="106">
        <v>15.622448979591827</v>
      </c>
      <c r="F16" s="106">
        <v>14.550000000000081</v>
      </c>
      <c r="G16" s="106">
        <v>49</v>
      </c>
      <c r="H16" s="107">
        <f t="shared" si="0"/>
        <v>3.42</v>
      </c>
      <c r="I16" s="108">
        <v>17.489795918367346</v>
      </c>
      <c r="J16" s="106">
        <v>2.7551020408163263E-2</v>
      </c>
      <c r="K16" s="106">
        <v>49</v>
      </c>
      <c r="L16" s="109">
        <f t="shared" si="1"/>
        <v>7.2407755102040809E-3</v>
      </c>
      <c r="M16" s="224">
        <f t="shared" si="2"/>
        <v>3.412759224489796</v>
      </c>
      <c r="N16" s="225">
        <f t="shared" si="5"/>
        <v>51.666220203198897</v>
      </c>
      <c r="O16" s="110">
        <f t="shared" si="3"/>
        <v>99.79</v>
      </c>
      <c r="P16" s="108">
        <v>1.5452380952380893</v>
      </c>
      <c r="Q16" s="106">
        <v>47.983015873015866</v>
      </c>
      <c r="R16" s="112">
        <v>42</v>
      </c>
      <c r="S16" s="113">
        <v>0.95</v>
      </c>
      <c r="T16" s="114">
        <f t="shared" si="6"/>
        <v>12.309999999999999</v>
      </c>
      <c r="U16" s="115">
        <f t="shared" si="7"/>
        <v>27.84</v>
      </c>
    </row>
    <row r="17" spans="1:21" ht="16.5" customHeight="1">
      <c r="A17" s="141">
        <v>46066</v>
      </c>
      <c r="B17" s="104">
        <v>13</v>
      </c>
      <c r="C17" s="105">
        <v>0.22777777777777775</v>
      </c>
      <c r="D17" s="227">
        <f t="shared" si="4"/>
        <v>2.848611111111111</v>
      </c>
      <c r="E17" s="106">
        <v>22.47391304347828</v>
      </c>
      <c r="F17" s="106">
        <v>11.72543478260865</v>
      </c>
      <c r="G17" s="106">
        <v>46</v>
      </c>
      <c r="H17" s="107">
        <f t="shared" si="0"/>
        <v>3.72</v>
      </c>
      <c r="I17" s="108">
        <v>14</v>
      </c>
      <c r="J17" s="106">
        <v>2.2826086956521739E-2</v>
      </c>
      <c r="K17" s="106">
        <v>46</v>
      </c>
      <c r="L17" s="109">
        <f t="shared" si="1"/>
        <v>4.5079999999999999E-3</v>
      </c>
      <c r="M17" s="224">
        <f t="shared" si="2"/>
        <v>3.7154920000000002</v>
      </c>
      <c r="N17" s="225">
        <f t="shared" si="5"/>
        <v>55.381712203198894</v>
      </c>
      <c r="O17" s="110">
        <f t="shared" si="3"/>
        <v>99.88</v>
      </c>
      <c r="P17" s="108">
        <v>1.2090909090909085</v>
      </c>
      <c r="Q17" s="106">
        <v>27.986060606060605</v>
      </c>
      <c r="R17" s="112">
        <v>44</v>
      </c>
      <c r="S17" s="113">
        <v>0.46</v>
      </c>
      <c r="T17" s="114">
        <f t="shared" si="6"/>
        <v>12.77</v>
      </c>
      <c r="U17" s="115">
        <f t="shared" si="7"/>
        <v>12.38</v>
      </c>
    </row>
    <row r="18" spans="1:21" ht="16.5" customHeight="1">
      <c r="A18" s="141">
        <v>46069</v>
      </c>
      <c r="B18" s="104">
        <v>14</v>
      </c>
      <c r="C18" s="105">
        <v>0.26319444444444451</v>
      </c>
      <c r="D18" s="227">
        <f t="shared" si="4"/>
        <v>3.1118055555555557</v>
      </c>
      <c r="E18" s="106">
        <v>21.260869565217362</v>
      </c>
      <c r="F18" s="106">
        <v>11.517101449275415</v>
      </c>
      <c r="G18" s="112">
        <v>69</v>
      </c>
      <c r="H18" s="107">
        <f t="shared" si="0"/>
        <v>5.18</v>
      </c>
      <c r="I18" s="108">
        <v>12.478260869565217</v>
      </c>
      <c r="J18" s="106">
        <v>5.2608695652173923E-2</v>
      </c>
      <c r="K18" s="112">
        <v>69</v>
      </c>
      <c r="L18" s="109">
        <f t="shared" si="1"/>
        <v>1.3890800000000002E-2</v>
      </c>
      <c r="M18" s="224">
        <f t="shared" si="2"/>
        <v>5.1661091999999993</v>
      </c>
      <c r="N18" s="225">
        <f t="shared" si="5"/>
        <v>60.547821403198895</v>
      </c>
      <c r="O18" s="110">
        <f t="shared" si="3"/>
        <v>99.73</v>
      </c>
      <c r="P18" s="108">
        <v>2.0003257328990238</v>
      </c>
      <c r="Q18" s="106">
        <v>33.547752442996746</v>
      </c>
      <c r="R18" s="116">
        <v>51.166666666666664</v>
      </c>
      <c r="S18" s="113">
        <v>1.05</v>
      </c>
      <c r="T18" s="114">
        <f t="shared" si="6"/>
        <v>13.82</v>
      </c>
      <c r="U18" s="115">
        <f t="shared" si="7"/>
        <v>20.32</v>
      </c>
    </row>
    <row r="19" spans="1:21" ht="16.5" customHeight="1">
      <c r="A19" s="141">
        <v>46070</v>
      </c>
      <c r="B19" s="104">
        <v>15</v>
      </c>
      <c r="C19" s="105">
        <v>0.24722222222222223</v>
      </c>
      <c r="D19" s="227">
        <f t="shared" si="4"/>
        <v>3.3590277777777779</v>
      </c>
      <c r="E19" s="106">
        <v>22.272463768116005</v>
      </c>
      <c r="F19" s="106">
        <v>11.372753623188384</v>
      </c>
      <c r="G19" s="106">
        <v>69</v>
      </c>
      <c r="H19" s="107">
        <f t="shared" si="0"/>
        <v>5.36</v>
      </c>
      <c r="I19" s="108">
        <v>12.478260869565217</v>
      </c>
      <c r="J19" s="106">
        <v>5.2608695652173923E-2</v>
      </c>
      <c r="K19" s="106">
        <v>69</v>
      </c>
      <c r="L19" s="109">
        <f t="shared" si="1"/>
        <v>1.3890800000000002E-2</v>
      </c>
      <c r="M19" s="224">
        <f t="shared" si="2"/>
        <v>5.3461091999999999</v>
      </c>
      <c r="N19" s="225">
        <f t="shared" si="5"/>
        <v>65.893930603198896</v>
      </c>
      <c r="O19" s="110">
        <f t="shared" si="3"/>
        <v>99.74</v>
      </c>
      <c r="P19" s="108">
        <v>2.168085106382978</v>
      </c>
      <c r="Q19" s="106">
        <v>57.502978723404254</v>
      </c>
      <c r="R19" s="116">
        <v>47</v>
      </c>
      <c r="S19" s="113">
        <v>1.8</v>
      </c>
      <c r="T19" s="114">
        <f t="shared" si="6"/>
        <v>15.620000000000001</v>
      </c>
      <c r="U19" s="115">
        <f t="shared" si="7"/>
        <v>33.67</v>
      </c>
    </row>
    <row r="20" spans="1:21" ht="16.5" customHeight="1">
      <c r="A20" s="141">
        <v>46071</v>
      </c>
      <c r="B20" s="104">
        <v>16</v>
      </c>
      <c r="C20" s="105">
        <v>0.23472222222222222</v>
      </c>
      <c r="D20" s="227">
        <f t="shared" si="4"/>
        <v>3.59375</v>
      </c>
      <c r="E20" s="106">
        <v>21.814285714285671</v>
      </c>
      <c r="F20" s="106">
        <v>11.474920634920689</v>
      </c>
      <c r="G20" s="106">
        <v>63</v>
      </c>
      <c r="H20" s="107">
        <f t="shared" si="0"/>
        <v>4.84</v>
      </c>
      <c r="I20" s="108">
        <v>12.952380952380953</v>
      </c>
      <c r="J20" s="106">
        <v>2.8412698412698414E-2</v>
      </c>
      <c r="K20" s="106">
        <v>63</v>
      </c>
      <c r="L20" s="109">
        <f t="shared" si="1"/>
        <v>7.1099936507936527E-3</v>
      </c>
      <c r="M20" s="224">
        <f t="shared" si="2"/>
        <v>4.8328900063492064</v>
      </c>
      <c r="N20" s="225">
        <f t="shared" si="5"/>
        <v>70.726820609548099</v>
      </c>
      <c r="O20" s="110">
        <f t="shared" si="3"/>
        <v>99.85</v>
      </c>
      <c r="P20" s="108">
        <v>2.2959999999999936</v>
      </c>
      <c r="Q20" s="106">
        <v>31.674066666666665</v>
      </c>
      <c r="R20" s="116">
        <v>25</v>
      </c>
      <c r="S20" s="113">
        <v>0.56000000000000005</v>
      </c>
      <c r="T20" s="114">
        <f t="shared" si="6"/>
        <v>16.18</v>
      </c>
      <c r="U20" s="115">
        <f t="shared" si="7"/>
        <v>11.59</v>
      </c>
    </row>
    <row r="21" spans="1:21" ht="16.5" customHeight="1">
      <c r="A21" s="141">
        <v>46076</v>
      </c>
      <c r="B21" s="104">
        <v>17</v>
      </c>
      <c r="C21" s="105">
        <v>0.22916666666666663</v>
      </c>
      <c r="D21" s="227">
        <f t="shared" si="4"/>
        <v>3.8229166666666665</v>
      </c>
      <c r="E21" s="106">
        <v>24.90000000000008</v>
      </c>
      <c r="F21" s="106">
        <v>11.772439024390208</v>
      </c>
      <c r="G21" s="108">
        <v>41</v>
      </c>
      <c r="H21" s="107">
        <f t="shared" si="0"/>
        <v>3.69</v>
      </c>
      <c r="I21" s="108">
        <v>14.512195121951219</v>
      </c>
      <c r="J21" s="106">
        <v>7.170731707317074E-2</v>
      </c>
      <c r="K21" s="106">
        <v>41</v>
      </c>
      <c r="L21" s="109">
        <f t="shared" si="1"/>
        <v>1.3084195121951222E-2</v>
      </c>
      <c r="M21" s="224">
        <f t="shared" si="2"/>
        <v>3.6769158048780488</v>
      </c>
      <c r="N21" s="225">
        <f t="shared" si="5"/>
        <v>74.403736414426149</v>
      </c>
      <c r="O21" s="110">
        <f t="shared" si="3"/>
        <v>99.65</v>
      </c>
      <c r="P21" s="144">
        <v>2.4837209302325571</v>
      </c>
      <c r="Q21" s="142">
        <v>22.486782945736451</v>
      </c>
      <c r="R21" s="142">
        <v>43</v>
      </c>
      <c r="S21" s="113">
        <v>1.1000000000000001</v>
      </c>
      <c r="T21" s="114">
        <f t="shared" si="6"/>
        <v>17.28</v>
      </c>
      <c r="U21" s="115">
        <f t="shared" si="7"/>
        <v>29.92</v>
      </c>
    </row>
    <row r="22" spans="1:21" ht="16.5" customHeight="1">
      <c r="A22" s="141">
        <v>46077</v>
      </c>
      <c r="B22" s="104">
        <v>18</v>
      </c>
      <c r="C22" s="105">
        <v>0.27083333333333331</v>
      </c>
      <c r="D22" s="227">
        <f t="shared" si="4"/>
        <v>4.09375</v>
      </c>
      <c r="E22" s="106">
        <v>20.498076923077001</v>
      </c>
      <c r="F22" s="106">
        <v>11.000961538461512</v>
      </c>
      <c r="G22" s="112">
        <v>52</v>
      </c>
      <c r="H22" s="107">
        <f t="shared" si="0"/>
        <v>3.6</v>
      </c>
      <c r="I22" s="108">
        <v>14.384615384615385</v>
      </c>
      <c r="J22" s="106">
        <v>7.8269230769230758E-2</v>
      </c>
      <c r="K22" s="112">
        <v>52</v>
      </c>
      <c r="L22" s="109">
        <f t="shared" si="1"/>
        <v>1.7953917948717948E-2</v>
      </c>
      <c r="M22" s="224">
        <f t="shared" si="2"/>
        <v>3.5820460820512823</v>
      </c>
      <c r="N22" s="225">
        <f t="shared" si="5"/>
        <v>77.985782496477427</v>
      </c>
      <c r="O22" s="110">
        <f t="shared" si="3"/>
        <v>99.5</v>
      </c>
      <c r="P22" s="144">
        <v>0.96666666666666756</v>
      </c>
      <c r="Q22" s="142">
        <v>4.8850584795321614</v>
      </c>
      <c r="R22" s="145">
        <v>57</v>
      </c>
      <c r="S22" s="113">
        <v>0.35</v>
      </c>
      <c r="T22" s="114">
        <f t="shared" si="6"/>
        <v>17.630000000000003</v>
      </c>
      <c r="U22" s="115">
        <f t="shared" si="7"/>
        <v>9.77</v>
      </c>
    </row>
    <row r="23" spans="1:21" ht="16.5" customHeight="1">
      <c r="A23" s="141">
        <v>46078</v>
      </c>
      <c r="B23" s="104">
        <v>19</v>
      </c>
      <c r="C23" s="105">
        <v>0.29097222222222224</v>
      </c>
      <c r="D23" s="227">
        <f t="shared" si="4"/>
        <v>4.384722222222222</v>
      </c>
      <c r="E23" s="106">
        <v>17.328571428571404</v>
      </c>
      <c r="F23" s="106">
        <v>10.969047619047599</v>
      </c>
      <c r="G23" s="112">
        <v>42</v>
      </c>
      <c r="H23" s="107">
        <f t="shared" si="0"/>
        <v>2.4500000000000002</v>
      </c>
      <c r="I23" s="108">
        <v>15.071428571428571</v>
      </c>
      <c r="J23" s="106">
        <v>2.5238095238095243E-2</v>
      </c>
      <c r="K23" s="112">
        <v>42</v>
      </c>
      <c r="L23" s="109">
        <f t="shared" si="1"/>
        <v>4.8992190476190491E-3</v>
      </c>
      <c r="M23" s="224">
        <f t="shared" si="2"/>
        <v>2.445100780952381</v>
      </c>
      <c r="N23" s="225">
        <f t="shared" si="5"/>
        <v>80.430883277429814</v>
      </c>
      <c r="O23" s="110">
        <f t="shared" si="3"/>
        <v>99.8</v>
      </c>
      <c r="P23" s="144">
        <v>1.517786561264822</v>
      </c>
      <c r="Q23" s="142">
        <v>17.940513833992107</v>
      </c>
      <c r="R23" s="145">
        <v>42.166666666666664</v>
      </c>
      <c r="S23" s="113">
        <v>0.6</v>
      </c>
      <c r="T23" s="114">
        <f t="shared" si="6"/>
        <v>18.230000000000004</v>
      </c>
      <c r="U23" s="115">
        <f t="shared" si="7"/>
        <v>24.54</v>
      </c>
    </row>
    <row r="24" spans="1:21" ht="16.5" customHeight="1">
      <c r="A24" s="141">
        <v>46079</v>
      </c>
      <c r="B24" s="104">
        <v>20</v>
      </c>
      <c r="C24" s="105">
        <v>0.3652777777777777</v>
      </c>
      <c r="D24" s="227">
        <f t="shared" si="4"/>
        <v>4.75</v>
      </c>
      <c r="E24" s="106">
        <v>23.438095238095311</v>
      </c>
      <c r="F24" s="106">
        <v>19.261904761904766</v>
      </c>
      <c r="G24" s="112">
        <v>42</v>
      </c>
      <c r="H24" s="107">
        <f t="shared" si="0"/>
        <v>5.81</v>
      </c>
      <c r="I24" s="108">
        <v>15.714285714285714</v>
      </c>
      <c r="J24" s="106">
        <v>2.3809523809523808E-2</v>
      </c>
      <c r="K24" s="112">
        <v>42</v>
      </c>
      <c r="L24" s="109">
        <f t="shared" si="1"/>
        <v>4.8190476190476186E-3</v>
      </c>
      <c r="M24" s="224">
        <f t="shared" si="2"/>
        <v>5.8051809523809519</v>
      </c>
      <c r="N24" s="225">
        <f t="shared" si="5"/>
        <v>86.236064229810765</v>
      </c>
      <c r="O24" s="110">
        <f t="shared" si="3"/>
        <v>99.92</v>
      </c>
      <c r="P24" s="144">
        <v>1.103846153846149</v>
      </c>
      <c r="Q24" s="142">
        <v>25.20653846153845</v>
      </c>
      <c r="R24" s="145">
        <v>52</v>
      </c>
      <c r="S24" s="113">
        <v>1.32</v>
      </c>
      <c r="T24" s="114">
        <f t="shared" si="6"/>
        <v>19.550000000000004</v>
      </c>
      <c r="U24" s="115">
        <f t="shared" si="7"/>
        <v>22.74</v>
      </c>
    </row>
    <row r="25" spans="1:21" ht="16.5" customHeight="1">
      <c r="A25" s="141">
        <v>46080</v>
      </c>
      <c r="B25" s="104">
        <v>21</v>
      </c>
      <c r="C25" s="105">
        <v>0.31666666666666665</v>
      </c>
      <c r="D25" s="227">
        <f t="shared" si="4"/>
        <v>5.0666666666666664</v>
      </c>
      <c r="E25" s="106">
        <v>13.688372093023291</v>
      </c>
      <c r="F25" s="106">
        <v>11.988837209302313</v>
      </c>
      <c r="G25" s="112">
        <v>43</v>
      </c>
      <c r="H25" s="107">
        <f t="shared" si="0"/>
        <v>2.16</v>
      </c>
      <c r="I25" s="108">
        <v>12.186046511627907</v>
      </c>
      <c r="J25" s="106">
        <v>5.6279069767441861E-2</v>
      </c>
      <c r="K25" s="112">
        <v>43</v>
      </c>
      <c r="L25" s="109">
        <f t="shared" si="1"/>
        <v>9.0436713178294586E-3</v>
      </c>
      <c r="M25" s="224">
        <f t="shared" si="2"/>
        <v>2.1509563286821707</v>
      </c>
      <c r="N25" s="225">
        <f t="shared" si="5"/>
        <v>88.387020558492935</v>
      </c>
      <c r="O25" s="110">
        <f t="shared" si="3"/>
        <v>99.58</v>
      </c>
      <c r="P25" s="144">
        <v>1.2203389830508475</v>
      </c>
      <c r="Q25" s="142">
        <v>15.700734463276824</v>
      </c>
      <c r="R25" s="145">
        <v>59</v>
      </c>
      <c r="S25" s="113">
        <v>0.6</v>
      </c>
      <c r="T25" s="114">
        <f t="shared" si="6"/>
        <v>20.150000000000006</v>
      </c>
      <c r="U25" s="115">
        <f t="shared" si="7"/>
        <v>27.89</v>
      </c>
    </row>
    <row r="26" spans="1:21" ht="16.5" customHeight="1">
      <c r="A26" s="141">
        <v>46083</v>
      </c>
      <c r="B26" s="104">
        <v>22</v>
      </c>
      <c r="C26" s="105">
        <v>0.30694444444444446</v>
      </c>
      <c r="D26" s="227">
        <f t="shared" si="4"/>
        <v>5.3736111111111109</v>
      </c>
      <c r="E26" s="106">
        <v>23.94827586206895</v>
      </c>
      <c r="F26" s="106">
        <v>13.65172413793103</v>
      </c>
      <c r="G26" s="112">
        <v>29</v>
      </c>
      <c r="H26" s="107">
        <f t="shared" si="0"/>
        <v>2.91</v>
      </c>
      <c r="I26" s="108">
        <v>12.275862068965518</v>
      </c>
      <c r="J26" s="106">
        <v>9.2068965517241391E-2</v>
      </c>
      <c r="K26" s="112">
        <v>29</v>
      </c>
      <c r="L26" s="109">
        <f t="shared" si="1"/>
        <v>1.0051475862068969E-2</v>
      </c>
      <c r="M26" s="224">
        <f t="shared" si="2"/>
        <v>2.899948524137931</v>
      </c>
      <c r="N26" s="225">
        <f t="shared" si="5"/>
        <v>91.286969082630861</v>
      </c>
      <c r="O26" s="110">
        <f t="shared" si="3"/>
        <v>99.65</v>
      </c>
      <c r="P26" s="144">
        <v>0.98163934426229349</v>
      </c>
      <c r="Q26" s="142">
        <v>9.1590491803278997</v>
      </c>
      <c r="R26" s="145">
        <v>50.833333333333336</v>
      </c>
      <c r="S26" s="113">
        <v>0.7</v>
      </c>
      <c r="T26" s="114">
        <f t="shared" si="6"/>
        <v>20.850000000000005</v>
      </c>
      <c r="U26" s="115">
        <f t="shared" si="7"/>
        <v>24.14</v>
      </c>
    </row>
    <row r="27" spans="1:21" ht="16.5" customHeight="1">
      <c r="A27" s="141">
        <v>46085</v>
      </c>
      <c r="B27" s="104">
        <v>23</v>
      </c>
      <c r="C27" s="105">
        <v>0.31597222222222227</v>
      </c>
      <c r="D27" s="227">
        <f t="shared" si="4"/>
        <v>5.6895833333333332</v>
      </c>
      <c r="E27" s="106">
        <v>17.84999999999998</v>
      </c>
      <c r="F27" s="106">
        <v>14.334999999999948</v>
      </c>
      <c r="G27" s="112">
        <v>22</v>
      </c>
      <c r="H27" s="107">
        <f t="shared" si="0"/>
        <v>1.73</v>
      </c>
      <c r="I27" s="108">
        <v>15.454545454545455</v>
      </c>
      <c r="J27" s="106">
        <v>0.10454545454545454</v>
      </c>
      <c r="K27" s="112">
        <v>22</v>
      </c>
      <c r="L27" s="109">
        <f t="shared" si="1"/>
        <v>1.090060606060606E-2</v>
      </c>
      <c r="M27" s="224">
        <f t="shared" si="2"/>
        <v>1.7190993939393939</v>
      </c>
      <c r="N27" s="225">
        <f t="shared" si="5"/>
        <v>93.006068476570249</v>
      </c>
      <c r="O27" s="110">
        <f t="shared" si="3"/>
        <v>99.37</v>
      </c>
      <c r="P27" s="144">
        <v>2.4016666666666664</v>
      </c>
      <c r="Q27" s="142">
        <v>54.160944444444482</v>
      </c>
      <c r="R27" s="145">
        <v>60</v>
      </c>
      <c r="S27" s="113">
        <v>2.5</v>
      </c>
      <c r="T27" s="114">
        <f t="shared" si="6"/>
        <v>23.350000000000005</v>
      </c>
      <c r="U27" s="115">
        <f t="shared" si="7"/>
        <v>145.41999999999999</v>
      </c>
    </row>
    <row r="28" spans="1:21" ht="16.5" customHeight="1">
      <c r="A28" s="141">
        <v>46086</v>
      </c>
      <c r="B28" s="104">
        <v>24</v>
      </c>
      <c r="C28" s="105">
        <v>0.27847222222222223</v>
      </c>
      <c r="D28" s="227">
        <f t="shared" si="4"/>
        <v>5.968055555555555</v>
      </c>
      <c r="E28" s="106">
        <v>22.911538461538424</v>
      </c>
      <c r="F28" s="106">
        <v>14.148076923076914</v>
      </c>
      <c r="G28" s="112">
        <v>26</v>
      </c>
      <c r="H28" s="107">
        <f t="shared" si="0"/>
        <v>2.58</v>
      </c>
      <c r="I28" s="108">
        <v>14.538461538461538</v>
      </c>
      <c r="J28" s="106">
        <v>0.105</v>
      </c>
      <c r="K28" s="112">
        <v>26</v>
      </c>
      <c r="L28" s="109">
        <f t="shared" si="1"/>
        <v>1.2171600000000001E-2</v>
      </c>
      <c r="M28" s="224">
        <f t="shared" si="2"/>
        <v>2.5678284000000002</v>
      </c>
      <c r="N28" s="225">
        <f t="shared" si="5"/>
        <v>95.573896876570245</v>
      </c>
      <c r="O28" s="110">
        <f t="shared" si="3"/>
        <v>99.53</v>
      </c>
      <c r="P28" s="144">
        <v>0.99999999999999889</v>
      </c>
      <c r="Q28" s="142">
        <v>7.2979084967320276</v>
      </c>
      <c r="R28" s="145">
        <v>51</v>
      </c>
      <c r="S28" s="113">
        <v>0.5</v>
      </c>
      <c r="T28" s="114">
        <f t="shared" si="6"/>
        <v>23.850000000000005</v>
      </c>
      <c r="U28" s="115">
        <f t="shared" si="7"/>
        <v>19.47</v>
      </c>
    </row>
    <row r="29" spans="1:21" ht="16.5" customHeight="1">
      <c r="A29" s="141">
        <v>46087</v>
      </c>
      <c r="B29" s="104">
        <v>25</v>
      </c>
      <c r="C29" s="105">
        <v>0.2729166666666667</v>
      </c>
      <c r="D29" s="227">
        <f t="shared" si="4"/>
        <v>6.2409722222222221</v>
      </c>
      <c r="E29" s="106">
        <v>15.795833333333368</v>
      </c>
      <c r="F29" s="106">
        <v>13.433749999999996</v>
      </c>
      <c r="G29" s="112">
        <v>24</v>
      </c>
      <c r="H29" s="107">
        <f t="shared" si="0"/>
        <v>1.56</v>
      </c>
      <c r="I29" s="108">
        <v>15</v>
      </c>
      <c r="J29" s="106">
        <v>0.12749999999999997</v>
      </c>
      <c r="K29" s="112">
        <v>24</v>
      </c>
      <c r="L29" s="109">
        <f t="shared" si="1"/>
        <v>1.4076E-2</v>
      </c>
      <c r="M29" s="224">
        <f t="shared" si="2"/>
        <v>1.5459240000000001</v>
      </c>
      <c r="N29" s="225">
        <f t="shared" si="5"/>
        <v>97.119820876570245</v>
      </c>
      <c r="O29" s="110">
        <f t="shared" si="3"/>
        <v>99.1</v>
      </c>
      <c r="P29" s="144">
        <v>0.90465116279069779</v>
      </c>
      <c r="Q29" s="142">
        <v>2.621279069767442</v>
      </c>
      <c r="R29" s="145">
        <v>43</v>
      </c>
      <c r="S29" s="113">
        <v>0.04</v>
      </c>
      <c r="T29" s="114">
        <f t="shared" si="6"/>
        <v>23.890000000000004</v>
      </c>
      <c r="U29" s="115">
        <f t="shared" si="7"/>
        <v>2.59</v>
      </c>
    </row>
    <row r="30" spans="1:21" ht="16.5" customHeight="1">
      <c r="A30" s="141">
        <v>46090</v>
      </c>
      <c r="B30" s="104">
        <v>26</v>
      </c>
      <c r="C30" s="105">
        <v>0.3263888888888889</v>
      </c>
      <c r="D30" s="227">
        <f t="shared" si="4"/>
        <v>6.5673611111111114</v>
      </c>
      <c r="E30" s="106">
        <v>24.5</v>
      </c>
      <c r="F30" s="106">
        <v>14.001304347826096</v>
      </c>
      <c r="G30" s="112">
        <v>23</v>
      </c>
      <c r="H30" s="107">
        <f t="shared" si="0"/>
        <v>2.42</v>
      </c>
      <c r="I30" s="108">
        <v>18</v>
      </c>
      <c r="J30" s="106">
        <v>0.15695652173913049</v>
      </c>
      <c r="K30" s="112">
        <v>23</v>
      </c>
      <c r="L30" s="109">
        <f t="shared" si="1"/>
        <v>1.9927200000000009E-2</v>
      </c>
      <c r="M30" s="224">
        <f t="shared" si="2"/>
        <v>2.4000727999999998</v>
      </c>
      <c r="N30" s="225">
        <f t="shared" si="5"/>
        <v>99.519893676570248</v>
      </c>
      <c r="O30" s="110">
        <f t="shared" si="3"/>
        <v>99.18</v>
      </c>
      <c r="P30" s="108">
        <v>0.54835164835164785</v>
      </c>
      <c r="Q30" s="106">
        <v>41.742307692307719</v>
      </c>
      <c r="R30" s="116">
        <v>91</v>
      </c>
      <c r="S30" s="113">
        <v>0.83</v>
      </c>
      <c r="T30" s="114">
        <f t="shared" si="6"/>
        <v>24.720000000000002</v>
      </c>
      <c r="U30" s="115">
        <f t="shared" si="7"/>
        <v>34.58</v>
      </c>
    </row>
    <row r="31" spans="1:21" ht="16.5" customHeight="1">
      <c r="A31" s="141">
        <v>46091</v>
      </c>
      <c r="B31" s="104">
        <v>27</v>
      </c>
      <c r="C31" s="105">
        <v>0.28541666666666671</v>
      </c>
      <c r="D31" s="227">
        <f t="shared" si="4"/>
        <v>6.8527777777777779</v>
      </c>
      <c r="E31" s="106">
        <v>24.194999999999951</v>
      </c>
      <c r="F31" s="106">
        <v>13.953000000000008</v>
      </c>
      <c r="G31" s="112">
        <v>20</v>
      </c>
      <c r="H31" s="107">
        <f t="shared" si="0"/>
        <v>2.0699999999999998</v>
      </c>
      <c r="I31" s="108">
        <v>18</v>
      </c>
      <c r="J31" s="106">
        <v>0.154</v>
      </c>
      <c r="K31" s="112">
        <v>20</v>
      </c>
      <c r="L31" s="109">
        <f t="shared" si="1"/>
        <v>1.7001599999999999E-2</v>
      </c>
      <c r="M31" s="224">
        <f t="shared" si="2"/>
        <v>2.0529983999999999</v>
      </c>
      <c r="N31" s="225">
        <f t="shared" si="5"/>
        <v>101.57289207657024</v>
      </c>
      <c r="O31" s="110">
        <f t="shared" si="3"/>
        <v>99.18</v>
      </c>
      <c r="P31" s="108">
        <v>2.0212121212121215</v>
      </c>
      <c r="Q31" s="106">
        <v>48.609040404040421</v>
      </c>
      <c r="R31" s="116">
        <v>33</v>
      </c>
      <c r="S31" s="113">
        <v>0.85</v>
      </c>
      <c r="T31" s="114">
        <f t="shared" si="6"/>
        <v>25.570000000000004</v>
      </c>
      <c r="U31" s="115">
        <f t="shared" si="7"/>
        <v>41.4</v>
      </c>
    </row>
    <row r="32" spans="1:21" ht="16.5" customHeight="1">
      <c r="A32" s="141">
        <v>46092</v>
      </c>
      <c r="B32" s="104">
        <v>28</v>
      </c>
      <c r="C32" s="105">
        <v>0.30763888888888885</v>
      </c>
      <c r="D32" s="227">
        <f t="shared" si="4"/>
        <v>7.1604166666666664</v>
      </c>
      <c r="E32" s="106">
        <v>25.264705882352942</v>
      </c>
      <c r="F32" s="106">
        <v>14</v>
      </c>
      <c r="G32" s="112">
        <v>17</v>
      </c>
      <c r="H32" s="107">
        <f t="shared" si="0"/>
        <v>1.84</v>
      </c>
      <c r="I32" s="108">
        <v>16</v>
      </c>
      <c r="J32" s="106">
        <v>0.12588235294117647</v>
      </c>
      <c r="K32" s="112">
        <v>17</v>
      </c>
      <c r="L32" s="109">
        <f t="shared" si="1"/>
        <v>1.0500266666666667E-2</v>
      </c>
      <c r="M32" s="224">
        <f t="shared" si="2"/>
        <v>1.8294997333333334</v>
      </c>
      <c r="N32" s="225">
        <f t="shared" si="5"/>
        <v>103.40239180990358</v>
      </c>
      <c r="O32" s="110">
        <f t="shared" si="3"/>
        <v>99.43</v>
      </c>
      <c r="P32" s="108">
        <v>2.2874773139745894</v>
      </c>
      <c r="Q32" s="106">
        <v>42.147041742286788</v>
      </c>
      <c r="R32" s="116">
        <v>91.833333333333329</v>
      </c>
      <c r="S32" s="113">
        <v>2.81</v>
      </c>
      <c r="T32" s="114">
        <f t="shared" si="6"/>
        <v>28.380000000000003</v>
      </c>
      <c r="U32" s="115">
        <f t="shared" si="7"/>
        <v>153.59</v>
      </c>
    </row>
    <row r="33" spans="1:28" ht="16.5" customHeight="1">
      <c r="A33" s="141">
        <v>46093</v>
      </c>
      <c r="B33" s="104">
        <v>29</v>
      </c>
      <c r="C33" s="105">
        <v>0.27013888888888887</v>
      </c>
      <c r="D33" s="227">
        <f t="shared" si="4"/>
        <v>7.4305555555555554</v>
      </c>
      <c r="E33" s="106">
        <v>22.906666666666677</v>
      </c>
      <c r="F33" s="106">
        <v>14.093333333333327</v>
      </c>
      <c r="G33" s="112">
        <v>15</v>
      </c>
      <c r="H33" s="107">
        <f t="shared" si="0"/>
        <v>1.49</v>
      </c>
      <c r="I33" s="108">
        <v>18</v>
      </c>
      <c r="J33" s="106">
        <v>0.14399999999999996</v>
      </c>
      <c r="K33" s="112">
        <v>15</v>
      </c>
      <c r="L33" s="109">
        <f t="shared" si="1"/>
        <v>1.1923199999999997E-2</v>
      </c>
      <c r="M33" s="224">
        <f t="shared" si="2"/>
        <v>1.4780768</v>
      </c>
      <c r="N33" s="225">
        <f t="shared" si="5"/>
        <v>104.88046860990357</v>
      </c>
      <c r="O33" s="110">
        <f t="shared" si="3"/>
        <v>99.2</v>
      </c>
      <c r="P33" s="108">
        <v>2.3217391304347825</v>
      </c>
      <c r="Q33" s="106">
        <v>65.015507246376842</v>
      </c>
      <c r="R33" s="116">
        <v>46</v>
      </c>
      <c r="S33" s="113">
        <v>2</v>
      </c>
      <c r="T33" s="114">
        <f t="shared" si="6"/>
        <v>30.380000000000003</v>
      </c>
      <c r="U33" s="115">
        <f t="shared" si="7"/>
        <v>135.31</v>
      </c>
    </row>
    <row r="34" spans="1:28" ht="16.5" customHeight="1">
      <c r="A34" s="141">
        <v>46094</v>
      </c>
      <c r="B34" s="104">
        <v>30</v>
      </c>
      <c r="C34" s="105">
        <v>0.33055555555555555</v>
      </c>
      <c r="D34" s="227">
        <f t="shared" si="4"/>
        <v>7.7611111111111111</v>
      </c>
      <c r="E34" s="106">
        <v>24.66956521739127</v>
      </c>
      <c r="F34" s="106">
        <v>11.583913043478271</v>
      </c>
      <c r="G34" s="112">
        <v>23</v>
      </c>
      <c r="H34" s="107">
        <f t="shared" si="0"/>
        <v>2.02</v>
      </c>
      <c r="I34" s="108">
        <v>16</v>
      </c>
      <c r="J34" s="106">
        <v>0.16304347826086948</v>
      </c>
      <c r="K34" s="112">
        <v>23</v>
      </c>
      <c r="L34" s="109">
        <f t="shared" si="1"/>
        <v>1.8399999999999996E-2</v>
      </c>
      <c r="M34" s="224">
        <f t="shared" si="2"/>
        <v>2.0015999999999998</v>
      </c>
      <c r="N34" s="225">
        <f t="shared" si="5"/>
        <v>106.88206860990357</v>
      </c>
      <c r="O34" s="110">
        <f t="shared" si="3"/>
        <v>99.09</v>
      </c>
      <c r="P34" s="108">
        <v>2.1764705882352935</v>
      </c>
      <c r="Q34" s="106">
        <v>49.719019607843137</v>
      </c>
      <c r="R34" s="116">
        <v>119</v>
      </c>
      <c r="S34" s="113">
        <v>3.98</v>
      </c>
      <c r="T34" s="114">
        <f t="shared" si="6"/>
        <v>34.36</v>
      </c>
      <c r="U34" s="115">
        <f t="shared" si="7"/>
        <v>198.84</v>
      </c>
    </row>
    <row r="35" spans="1:28" ht="16.5" customHeight="1">
      <c r="A35" s="141">
        <v>46097</v>
      </c>
      <c r="B35" s="104">
        <v>31</v>
      </c>
      <c r="C35" s="105">
        <v>0.28124999999999994</v>
      </c>
      <c r="D35" s="227">
        <f t="shared" si="4"/>
        <v>8.0423611111111111</v>
      </c>
      <c r="E35" s="106">
        <v>13.361538461538448</v>
      </c>
      <c r="F35" s="106">
        <v>13.692307692307704</v>
      </c>
      <c r="G35" s="112">
        <v>13</v>
      </c>
      <c r="H35" s="107">
        <f t="shared" si="0"/>
        <v>0.73</v>
      </c>
      <c r="I35" s="108">
        <v>18</v>
      </c>
      <c r="J35" s="106">
        <v>0.14846153846153845</v>
      </c>
      <c r="K35" s="112">
        <v>13</v>
      </c>
      <c r="L35" s="109">
        <f t="shared" si="1"/>
        <v>1.0653600000000001E-2</v>
      </c>
      <c r="M35" s="224">
        <f t="shared" si="2"/>
        <v>0.71934639999999994</v>
      </c>
      <c r="N35" s="225">
        <f t="shared" si="5"/>
        <v>107.60141500990358</v>
      </c>
      <c r="O35" s="110">
        <f t="shared" si="3"/>
        <v>98.54</v>
      </c>
      <c r="P35" s="108">
        <v>1.7214285714285669</v>
      </c>
      <c r="Q35" s="106">
        <v>5.4480952380952354</v>
      </c>
      <c r="R35" s="116">
        <v>28</v>
      </c>
      <c r="S35" s="113">
        <v>0.15</v>
      </c>
      <c r="T35" s="114">
        <f t="shared" si="6"/>
        <v>34.51</v>
      </c>
      <c r="U35" s="115">
        <f t="shared" si="7"/>
        <v>20.85</v>
      </c>
    </row>
    <row r="36" spans="1:28" ht="16.5" customHeight="1">
      <c r="A36" s="141">
        <v>46098</v>
      </c>
      <c r="B36" s="104">
        <v>32</v>
      </c>
      <c r="C36" s="105">
        <v>0.25972222222222219</v>
      </c>
      <c r="D36" s="227">
        <f t="shared" si="4"/>
        <v>8.3020833333333339</v>
      </c>
      <c r="E36" s="106">
        <v>17.426315789473698</v>
      </c>
      <c r="F36" s="106">
        <v>13.799999999999972</v>
      </c>
      <c r="G36" s="112">
        <v>19</v>
      </c>
      <c r="H36" s="107">
        <f t="shared" si="0"/>
        <v>1.4</v>
      </c>
      <c r="I36" s="108">
        <v>16</v>
      </c>
      <c r="J36" s="106">
        <v>0.11947368421052629</v>
      </c>
      <c r="K36" s="112">
        <v>19</v>
      </c>
      <c r="L36" s="109">
        <f t="shared" si="1"/>
        <v>1.1138133333333331E-2</v>
      </c>
      <c r="M36" s="224">
        <f t="shared" si="2"/>
        <v>1.3888618666666666</v>
      </c>
      <c r="N36" s="225">
        <f t="shared" si="5"/>
        <v>108.99027687657025</v>
      </c>
      <c r="O36" s="110">
        <f t="shared" si="3"/>
        <v>99.2</v>
      </c>
      <c r="P36" s="108">
        <v>1.4000000000000001</v>
      </c>
      <c r="Q36" s="106">
        <v>3.9227419354838702</v>
      </c>
      <c r="R36" s="116">
        <v>31</v>
      </c>
      <c r="S36" s="113">
        <v>0.13</v>
      </c>
      <c r="T36" s="114">
        <f t="shared" si="6"/>
        <v>34.64</v>
      </c>
      <c r="U36" s="115">
        <f t="shared" si="7"/>
        <v>9.36</v>
      </c>
    </row>
    <row r="37" spans="1:28" ht="16.5" customHeight="1">
      <c r="A37" s="141">
        <v>46099</v>
      </c>
      <c r="B37" s="104">
        <v>33</v>
      </c>
      <c r="C37" s="105">
        <v>0.22638888888888892</v>
      </c>
      <c r="D37" s="227">
        <f t="shared" si="4"/>
        <v>8.5284722222222236</v>
      </c>
      <c r="E37" s="106">
        <v>14.18571428571429</v>
      </c>
      <c r="F37" s="106">
        <v>13.878571428571409</v>
      </c>
      <c r="G37" s="112">
        <v>14</v>
      </c>
      <c r="H37" s="107">
        <f t="shared" si="0"/>
        <v>0.85</v>
      </c>
      <c r="I37" s="108">
        <v>16</v>
      </c>
      <c r="J37" s="106">
        <v>0.2</v>
      </c>
      <c r="K37" s="112">
        <v>14</v>
      </c>
      <c r="L37" s="109">
        <f t="shared" si="1"/>
        <v>1.3738666666666668E-2</v>
      </c>
      <c r="M37" s="224">
        <f t="shared" si="2"/>
        <v>0.8362613333333333</v>
      </c>
      <c r="N37" s="225">
        <f t="shared" si="5"/>
        <v>109.82653820990359</v>
      </c>
      <c r="O37" s="110">
        <f t="shared" si="3"/>
        <v>98.38</v>
      </c>
      <c r="P37" s="108">
        <v>2.3923076923076949</v>
      </c>
      <c r="Q37" s="106">
        <v>8.2163461538461462</v>
      </c>
      <c r="R37" s="116">
        <v>26</v>
      </c>
      <c r="S37" s="113">
        <v>0.19</v>
      </c>
      <c r="T37" s="114">
        <f>T36+S37</f>
        <v>34.83</v>
      </c>
      <c r="U37" s="115">
        <f t="shared" si="7"/>
        <v>22.72</v>
      </c>
    </row>
    <row r="38" spans="1:28" ht="16.5" customHeight="1">
      <c r="A38" s="141">
        <v>46100</v>
      </c>
      <c r="B38" s="104">
        <v>34</v>
      </c>
      <c r="C38" s="105"/>
      <c r="D38" s="227">
        <f t="shared" si="4"/>
        <v>8.5284722222222236</v>
      </c>
      <c r="E38" s="106"/>
      <c r="F38" s="106"/>
      <c r="G38" s="106"/>
      <c r="H38" s="107">
        <f t="shared" si="0"/>
        <v>0</v>
      </c>
      <c r="I38" s="108"/>
      <c r="J38" s="111"/>
      <c r="K38" s="106"/>
      <c r="L38" s="109">
        <f t="shared" si="1"/>
        <v>0</v>
      </c>
      <c r="M38" s="224">
        <f t="shared" si="2"/>
        <v>0</v>
      </c>
      <c r="N38" s="225">
        <f t="shared" si="5"/>
        <v>109.82653820990359</v>
      </c>
      <c r="O38" s="110" t="e">
        <f t="shared" si="3"/>
        <v>#DIV/0!</v>
      </c>
      <c r="P38" s="108"/>
      <c r="Q38" s="111"/>
      <c r="R38" s="112"/>
      <c r="S38" s="113"/>
      <c r="T38" s="114">
        <f t="shared" si="6"/>
        <v>34.83</v>
      </c>
      <c r="U38" s="115">
        <f t="shared" si="7"/>
        <v>0</v>
      </c>
    </row>
    <row r="39" spans="1:28" ht="16.5" customHeight="1" thickBot="1">
      <c r="A39" s="117" t="s">
        <v>19</v>
      </c>
      <c r="B39" s="118"/>
      <c r="C39" s="119"/>
      <c r="D39" s="119">
        <f>D38</f>
        <v>8.5284722222222236</v>
      </c>
      <c r="E39" s="118"/>
      <c r="F39" s="118"/>
      <c r="G39" s="118"/>
      <c r="H39" s="118">
        <f>SUM(H5:H25)</f>
        <v>88.62</v>
      </c>
      <c r="I39" s="118"/>
      <c r="J39" s="118"/>
      <c r="K39" s="118"/>
      <c r="L39" s="120">
        <f>SUM(L5:L25)</f>
        <v>0.23297944150706049</v>
      </c>
      <c r="M39" s="121">
        <f>SUM(M5:M25)</f>
        <v>88.387020558492935</v>
      </c>
      <c r="N39" s="121">
        <f>N23</f>
        <v>80.430883277429814</v>
      </c>
      <c r="O39" s="121">
        <f>AVERAGE(O5:O25)</f>
        <v>99.554761904761904</v>
      </c>
      <c r="P39" s="118"/>
      <c r="Q39" s="118"/>
      <c r="R39" s="118"/>
      <c r="S39" s="118"/>
      <c r="T39" s="118">
        <f>T23</f>
        <v>18.230000000000004</v>
      </c>
      <c r="U39" s="118"/>
    </row>
    <row r="40" spans="1:28" ht="16.5" customHeight="1" thickTop="1"/>
    <row r="41" spans="1:28" ht="16.5" customHeight="1"/>
    <row r="42" spans="1:28" ht="16.5" customHeight="1"/>
    <row r="43" spans="1:28" ht="16.5" customHeight="1">
      <c r="B43" s="82" t="s">
        <v>20</v>
      </c>
      <c r="L43" s="82" t="s">
        <v>21</v>
      </c>
      <c r="P43" s="82" t="s">
        <v>22</v>
      </c>
      <c r="AB43" s="40" t="s">
        <v>23</v>
      </c>
    </row>
    <row r="44" spans="1:28" ht="16.5" customHeight="1"/>
    <row r="45" spans="1:28" ht="16.5" customHeight="1"/>
    <row r="46" spans="1:28" ht="16.5" customHeight="1"/>
    <row r="47" spans="1:28" ht="16.5" customHeight="1"/>
    <row r="48" spans="1:2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spans="28:28" ht="16.5" customHeight="1"/>
    <row r="66" spans="28:28" ht="16.5" customHeight="1"/>
    <row r="67" spans="28:28" ht="16.5" customHeight="1"/>
    <row r="68" spans="28:28" ht="16.5" customHeight="1"/>
    <row r="69" spans="28:28" ht="16.5" customHeight="1"/>
    <row r="70" spans="28:28" ht="16.5" customHeight="1"/>
    <row r="71" spans="28:28" ht="16.5" customHeight="1"/>
    <row r="72" spans="28:28" ht="16.5" customHeight="1"/>
    <row r="73" spans="28:28" ht="16.5" customHeight="1"/>
    <row r="74" spans="28:28" ht="16.5" customHeight="1"/>
    <row r="75" spans="28:28" ht="16.5" customHeight="1">
      <c r="AB75" s="40" t="s">
        <v>26</v>
      </c>
    </row>
    <row r="76" spans="28:28" ht="16.5" customHeight="1"/>
    <row r="77" spans="28:28" ht="16.5" customHeight="1"/>
    <row r="78" spans="28:28" ht="16.5" customHeight="1"/>
    <row r="79" spans="28:28" ht="16.5" customHeight="1"/>
    <row r="80" spans="28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spans="28:28" ht="16.5" customHeight="1"/>
    <row r="98" spans="28:28" ht="16.5" customHeight="1"/>
    <row r="99" spans="28:28" ht="16.5" customHeight="1"/>
    <row r="100" spans="28:28" ht="16.5" customHeight="1"/>
    <row r="101" spans="28:28" ht="16.5" customHeight="1"/>
    <row r="102" spans="28:28" ht="16.5" customHeight="1">
      <c r="AB102" s="40" t="s">
        <v>27</v>
      </c>
    </row>
    <row r="103" spans="28:28" ht="16.5" customHeight="1"/>
    <row r="104" spans="28:28" ht="16.5" customHeight="1"/>
    <row r="105" spans="28:28" ht="16.5" customHeight="1"/>
    <row r="106" spans="28:28" ht="16.5" customHeight="1"/>
    <row r="107" spans="28:28" ht="16.5" customHeight="1"/>
    <row r="108" spans="28:28" ht="16.5" customHeight="1"/>
    <row r="109" spans="28:28" ht="16.5" customHeight="1"/>
    <row r="110" spans="28:28" ht="16.5" customHeight="1"/>
    <row r="111" spans="28:28" ht="16.5" customHeight="1"/>
    <row r="112" spans="28:28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</sheetData>
  <mergeCells count="7">
    <mergeCell ref="P3:U3"/>
    <mergeCell ref="B3:B4"/>
    <mergeCell ref="C3:C4"/>
    <mergeCell ref="D3:D4"/>
    <mergeCell ref="E3:H3"/>
    <mergeCell ref="I3:L3"/>
    <mergeCell ref="M3:O3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56C3-2F6E-464D-886F-3D5B69571A38}">
  <dimension ref="A1"/>
  <sheetViews>
    <sheetView workbookViewId="0">
      <selection activeCell="L25" sqref="L25"/>
    </sheetView>
  </sheetViews>
  <sheetFormatPr defaultRowHeight="14.4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F59-408E-4FF6-B1BC-462326D8579A}">
  <dimension ref="B3:AB75"/>
  <sheetViews>
    <sheetView zoomScale="40" zoomScaleNormal="40" workbookViewId="0">
      <selection activeCell="AF10" sqref="AF10"/>
    </sheetView>
  </sheetViews>
  <sheetFormatPr defaultRowHeight="14.4"/>
  <cols>
    <col min="7" max="7" width="22.109375" bestFit="1" customWidth="1"/>
    <col min="8" max="8" width="16.6640625" bestFit="1" customWidth="1"/>
    <col min="9" max="9" width="6.33203125" bestFit="1" customWidth="1"/>
    <col min="10" max="10" width="7.88671875" bestFit="1" customWidth="1"/>
    <col min="11" max="11" width="9" bestFit="1" customWidth="1"/>
    <col min="12" max="12" width="8.33203125" bestFit="1" customWidth="1"/>
    <col min="13" max="13" width="8.6640625" bestFit="1" customWidth="1"/>
    <col min="14" max="14" width="7.6640625" bestFit="1" customWidth="1"/>
    <col min="15" max="15" width="8.44140625" bestFit="1" customWidth="1"/>
    <col min="16" max="16" width="10.109375" bestFit="1" customWidth="1"/>
    <col min="20" max="20" width="29.88671875" bestFit="1" customWidth="1"/>
    <col min="21" max="21" width="19.88671875" bestFit="1" customWidth="1"/>
    <col min="22" max="22" width="4.88671875" bestFit="1" customWidth="1"/>
    <col min="23" max="23" width="7.88671875" bestFit="1" customWidth="1"/>
    <col min="24" max="24" width="9" bestFit="1" customWidth="1"/>
    <col min="25" max="25" width="8.33203125" bestFit="1" customWidth="1"/>
    <col min="26" max="26" width="8.6640625" bestFit="1" customWidth="1"/>
    <col min="27" max="27" width="7.6640625" bestFit="1" customWidth="1"/>
    <col min="28" max="28" width="8.44140625" bestFit="1" customWidth="1"/>
  </cols>
  <sheetData>
    <row r="3" spans="7:28" ht="18">
      <c r="G3" s="86" t="s">
        <v>117</v>
      </c>
      <c r="R3" s="86"/>
      <c r="T3" s="86" t="s">
        <v>118</v>
      </c>
    </row>
    <row r="4" spans="7:28">
      <c r="G4" s="293" t="s">
        <v>96</v>
      </c>
      <c r="H4" s="41" t="s">
        <v>97</v>
      </c>
      <c r="I4" s="41" t="s">
        <v>98</v>
      </c>
      <c r="J4" s="41" t="s">
        <v>99</v>
      </c>
      <c r="K4" s="41" t="s">
        <v>100</v>
      </c>
      <c r="L4" s="41" t="s">
        <v>101</v>
      </c>
      <c r="M4" s="41" t="s">
        <v>102</v>
      </c>
      <c r="N4" s="41" t="s">
        <v>103</v>
      </c>
      <c r="O4" s="41" t="s">
        <v>104</v>
      </c>
      <c r="P4" s="41" t="s">
        <v>105</v>
      </c>
    </row>
    <row r="5" spans="7:28">
      <c r="G5" s="294"/>
      <c r="H5" s="91">
        <v>46009.462500000001</v>
      </c>
      <c r="I5" s="46">
        <v>4.59</v>
      </c>
      <c r="J5" s="47">
        <v>0</v>
      </c>
      <c r="K5" s="48">
        <v>44.4</v>
      </c>
      <c r="L5" s="47">
        <v>44</v>
      </c>
      <c r="M5" s="48">
        <v>0.4</v>
      </c>
      <c r="N5" s="46">
        <v>19.23</v>
      </c>
      <c r="O5" s="47">
        <v>0</v>
      </c>
      <c r="P5" s="92">
        <v>4.96</v>
      </c>
      <c r="T5" s="93" t="s">
        <v>96</v>
      </c>
      <c r="U5" s="41" t="s">
        <v>97</v>
      </c>
      <c r="V5" s="41" t="s">
        <v>98</v>
      </c>
      <c r="W5" s="41" t="s">
        <v>99</v>
      </c>
      <c r="X5" s="41" t="s">
        <v>100</v>
      </c>
      <c r="Y5" s="41" t="s">
        <v>101</v>
      </c>
      <c r="Z5" s="41" t="s">
        <v>102</v>
      </c>
      <c r="AA5" s="41" t="s">
        <v>103</v>
      </c>
      <c r="AB5" s="41" t="s">
        <v>104</v>
      </c>
    </row>
    <row r="6" spans="7:28">
      <c r="G6" s="294"/>
      <c r="H6" s="91"/>
      <c r="I6" s="46"/>
      <c r="J6" s="47"/>
      <c r="K6" s="48"/>
      <c r="L6" s="47"/>
      <c r="M6" s="48"/>
      <c r="N6" s="46"/>
      <c r="O6" s="47"/>
      <c r="P6" s="94"/>
      <c r="T6" s="93"/>
      <c r="U6" s="41"/>
      <c r="V6" s="41"/>
      <c r="W6" s="41"/>
      <c r="X6" s="41"/>
      <c r="Y6" s="41"/>
      <c r="Z6" s="41"/>
      <c r="AA6" s="41"/>
      <c r="AB6" s="41"/>
    </row>
    <row r="7" spans="7:28">
      <c r="G7" s="294"/>
      <c r="H7" s="91"/>
      <c r="I7" s="46"/>
      <c r="J7" s="47"/>
      <c r="K7" s="48"/>
      <c r="L7" s="47"/>
      <c r="M7" s="48"/>
      <c r="N7" s="46"/>
      <c r="O7" s="47"/>
      <c r="P7" s="94"/>
      <c r="T7" s="93"/>
      <c r="U7" s="41"/>
      <c r="V7" s="41"/>
      <c r="W7" s="41"/>
      <c r="X7" s="41"/>
      <c r="Y7" s="41"/>
      <c r="Z7" s="41"/>
      <c r="AA7" s="41"/>
      <c r="AB7" s="41"/>
    </row>
    <row r="8" spans="7:28">
      <c r="G8" s="294"/>
      <c r="H8" s="91">
        <v>46012.464583159723</v>
      </c>
      <c r="I8" s="46">
        <v>4.32</v>
      </c>
      <c r="J8" s="47">
        <v>0</v>
      </c>
      <c r="K8" s="48">
        <v>44.3</v>
      </c>
      <c r="L8" s="47">
        <v>44</v>
      </c>
      <c r="M8" s="48">
        <v>0.3</v>
      </c>
      <c r="N8" s="46">
        <v>19.600000000000001</v>
      </c>
      <c r="O8" s="47">
        <v>0</v>
      </c>
      <c r="P8" s="94"/>
      <c r="T8" s="93"/>
      <c r="U8" s="45">
        <v>46008.449386574073</v>
      </c>
      <c r="V8" s="46"/>
      <c r="W8" s="47"/>
      <c r="X8" s="48"/>
      <c r="Y8" s="47"/>
      <c r="Z8" s="48"/>
      <c r="AA8" s="95">
        <v>12.58</v>
      </c>
      <c r="AB8" s="47"/>
    </row>
    <row r="9" spans="7:28">
      <c r="G9" s="294"/>
      <c r="H9" s="91"/>
      <c r="I9" s="46"/>
      <c r="J9" s="47"/>
      <c r="K9" s="48"/>
      <c r="L9" s="47"/>
      <c r="M9" s="48"/>
      <c r="N9" s="46"/>
      <c r="O9" s="47"/>
      <c r="P9" s="94"/>
      <c r="T9" s="93"/>
      <c r="U9" s="45"/>
      <c r="V9" s="46"/>
      <c r="W9" s="47"/>
      <c r="X9" s="48"/>
      <c r="Y9" s="47"/>
      <c r="Z9" s="48"/>
      <c r="AA9" s="95"/>
      <c r="AB9" s="47"/>
    </row>
    <row r="10" spans="7:28">
      <c r="G10" s="294"/>
      <c r="H10" s="91"/>
      <c r="I10" s="46"/>
      <c r="J10" s="47"/>
      <c r="K10" s="48"/>
      <c r="L10" s="47"/>
      <c r="M10" s="48"/>
      <c r="N10" s="46"/>
      <c r="O10" s="47"/>
      <c r="P10" s="94"/>
      <c r="T10" s="93"/>
      <c r="U10" s="45"/>
      <c r="V10" s="46"/>
      <c r="W10" s="47"/>
      <c r="X10" s="48"/>
      <c r="Y10" s="47"/>
      <c r="Z10" s="48"/>
      <c r="AA10" s="95"/>
      <c r="AB10" s="47"/>
    </row>
    <row r="11" spans="7:28">
      <c r="G11" s="294"/>
      <c r="H11" s="91">
        <v>46015.466666319444</v>
      </c>
      <c r="I11" s="46">
        <v>4.3099999999999996</v>
      </c>
      <c r="J11" s="47">
        <v>0</v>
      </c>
      <c r="K11" s="48">
        <v>45.4</v>
      </c>
      <c r="L11" s="47">
        <v>45</v>
      </c>
      <c r="M11" s="48">
        <v>0.4</v>
      </c>
      <c r="N11" s="46">
        <v>19.48</v>
      </c>
      <c r="O11" s="47">
        <v>0</v>
      </c>
      <c r="P11" s="94"/>
      <c r="T11" s="93"/>
      <c r="U11" s="45">
        <v>46008.451469907406</v>
      </c>
      <c r="V11" s="46"/>
      <c r="W11" s="47"/>
      <c r="X11" s="48"/>
      <c r="Y11" s="47"/>
      <c r="Z11" s="48"/>
      <c r="AA11" s="95">
        <v>12.58</v>
      </c>
      <c r="AB11" s="47"/>
    </row>
    <row r="12" spans="7:28">
      <c r="G12" s="294"/>
      <c r="H12" s="91">
        <v>46016.467360706018</v>
      </c>
      <c r="I12" s="46">
        <v>4.0999999999999996</v>
      </c>
      <c r="J12" s="47">
        <v>0</v>
      </c>
      <c r="K12" s="48">
        <v>44.9</v>
      </c>
      <c r="L12" s="47">
        <v>44</v>
      </c>
      <c r="M12" s="48">
        <v>0.9</v>
      </c>
      <c r="N12" s="46">
        <v>19.8</v>
      </c>
      <c r="O12" s="47">
        <v>0</v>
      </c>
      <c r="P12" s="94"/>
      <c r="T12" s="93"/>
      <c r="U12" s="45">
        <v>46008.452164351853</v>
      </c>
      <c r="V12" s="46"/>
      <c r="W12" s="47"/>
      <c r="X12" s="48"/>
      <c r="Y12" s="47"/>
      <c r="Z12" s="48"/>
      <c r="AA12" s="95">
        <v>12.58</v>
      </c>
      <c r="AB12" s="47"/>
    </row>
    <row r="13" spans="7:28">
      <c r="G13" s="294"/>
      <c r="H13" s="91">
        <v>46017.468055092591</v>
      </c>
      <c r="I13" s="46">
        <v>4.17</v>
      </c>
      <c r="J13" s="47">
        <v>0</v>
      </c>
      <c r="K13" s="48">
        <v>45.1</v>
      </c>
      <c r="L13" s="47">
        <v>45</v>
      </c>
      <c r="M13" s="48">
        <v>0.1</v>
      </c>
      <c r="N13" s="46">
        <v>19.7</v>
      </c>
      <c r="O13" s="47">
        <v>0</v>
      </c>
      <c r="P13" s="94"/>
      <c r="T13" s="93"/>
      <c r="U13" s="45">
        <v>46008.4528587963</v>
      </c>
      <c r="V13" s="46"/>
      <c r="W13" s="47"/>
      <c r="X13" s="48"/>
      <c r="Y13" s="47"/>
      <c r="Z13" s="48"/>
      <c r="AA13" s="95">
        <v>12.58</v>
      </c>
      <c r="AB13" s="47"/>
    </row>
    <row r="14" spans="7:28">
      <c r="G14" s="295"/>
      <c r="H14" s="91">
        <v>46018.468749479165</v>
      </c>
      <c r="I14" s="46">
        <v>4.0999999999999996</v>
      </c>
      <c r="J14" s="47">
        <v>0</v>
      </c>
      <c r="K14" s="48">
        <v>45.4</v>
      </c>
      <c r="L14" s="47">
        <v>45</v>
      </c>
      <c r="M14" s="48">
        <v>0.4</v>
      </c>
      <c r="N14" s="46">
        <v>19.78</v>
      </c>
      <c r="O14" s="47">
        <v>0</v>
      </c>
      <c r="P14" s="94"/>
      <c r="T14" s="93"/>
      <c r="U14" s="45">
        <v>46008.453553240739</v>
      </c>
      <c r="V14" s="46"/>
      <c r="W14" s="47"/>
      <c r="X14" s="48"/>
      <c r="Y14" s="47"/>
      <c r="Z14" s="48"/>
      <c r="AA14" s="95">
        <v>12.58</v>
      </c>
      <c r="AB14" s="47"/>
    </row>
    <row r="15" spans="7:28">
      <c r="G15" s="41" t="s">
        <v>106</v>
      </c>
      <c r="H15" s="45"/>
      <c r="I15" s="58">
        <f t="shared" ref="I15:O15" si="0">AVERAGE(I5:I14)</f>
        <v>4.2650000000000006</v>
      </c>
      <c r="J15" s="59">
        <f t="shared" si="0"/>
        <v>0</v>
      </c>
      <c r="K15" s="60">
        <f t="shared" si="0"/>
        <v>44.916666666666664</v>
      </c>
      <c r="L15" s="59">
        <f t="shared" si="0"/>
        <v>44.5</v>
      </c>
      <c r="M15" s="60">
        <f t="shared" si="0"/>
        <v>0.41666666666666669</v>
      </c>
      <c r="N15" s="58">
        <f t="shared" si="0"/>
        <v>19.598333333333333</v>
      </c>
      <c r="O15" s="59">
        <f t="shared" si="0"/>
        <v>0</v>
      </c>
      <c r="P15" s="97"/>
      <c r="T15" s="93"/>
      <c r="U15" s="45">
        <v>46008.454247685186</v>
      </c>
      <c r="V15" s="46"/>
      <c r="W15" s="47"/>
      <c r="X15" s="48"/>
      <c r="Y15" s="47"/>
      <c r="Z15" s="48"/>
      <c r="AA15" s="95">
        <v>12.58</v>
      </c>
      <c r="AB15" s="47"/>
    </row>
    <row r="16" spans="7:28">
      <c r="G16" s="61"/>
      <c r="H16" s="62"/>
      <c r="T16" s="41" t="s">
        <v>106</v>
      </c>
      <c r="U16" s="45"/>
      <c r="V16" s="58"/>
      <c r="W16" s="83"/>
      <c r="X16" s="60"/>
      <c r="Y16" s="59"/>
      <c r="Z16" s="83"/>
      <c r="AA16" s="58">
        <f>AVERAGE(AA8:AA15)</f>
        <v>12.58</v>
      </c>
      <c r="AB16" s="83"/>
    </row>
    <row r="17" spans="7:28">
      <c r="G17" s="293" t="s">
        <v>107</v>
      </c>
      <c r="H17" s="41" t="s">
        <v>97</v>
      </c>
      <c r="I17" s="41" t="s">
        <v>98</v>
      </c>
      <c r="J17" s="41" t="s">
        <v>99</v>
      </c>
      <c r="K17" s="41" t="s">
        <v>100</v>
      </c>
      <c r="L17" s="41" t="s">
        <v>101</v>
      </c>
      <c r="M17" s="41" t="s">
        <v>102</v>
      </c>
      <c r="N17" s="41" t="s">
        <v>103</v>
      </c>
      <c r="O17" s="41" t="s">
        <v>104</v>
      </c>
      <c r="P17" s="41" t="s">
        <v>105</v>
      </c>
      <c r="T17" s="61"/>
      <c r="U17" s="62"/>
    </row>
    <row r="18" spans="7:28">
      <c r="G18" s="294"/>
      <c r="H18" s="91">
        <v>46009.418749999997</v>
      </c>
      <c r="I18" s="46">
        <v>5.59</v>
      </c>
      <c r="J18" s="47">
        <v>0</v>
      </c>
      <c r="K18" s="48">
        <v>47.3</v>
      </c>
      <c r="L18" s="47">
        <v>47</v>
      </c>
      <c r="M18" s="48">
        <v>0.3</v>
      </c>
      <c r="N18" s="46">
        <v>0.32</v>
      </c>
      <c r="O18" s="47">
        <v>0</v>
      </c>
      <c r="P18" s="92">
        <v>2.09</v>
      </c>
      <c r="T18" s="93" t="s">
        <v>107</v>
      </c>
      <c r="U18" s="41" t="s">
        <v>97</v>
      </c>
      <c r="V18" s="41" t="s">
        <v>98</v>
      </c>
      <c r="W18" s="41" t="s">
        <v>99</v>
      </c>
      <c r="X18" s="41" t="s">
        <v>100</v>
      </c>
      <c r="Y18" s="41" t="s">
        <v>101</v>
      </c>
      <c r="Z18" s="41" t="s">
        <v>102</v>
      </c>
      <c r="AA18" s="41" t="s">
        <v>103</v>
      </c>
      <c r="AB18" s="41" t="s">
        <v>104</v>
      </c>
    </row>
    <row r="19" spans="7:28">
      <c r="G19" s="294"/>
      <c r="H19" s="91">
        <v>46009.419444444444</v>
      </c>
      <c r="I19" s="46">
        <v>5.58</v>
      </c>
      <c r="J19" s="47">
        <v>0</v>
      </c>
      <c r="K19" s="48">
        <v>48.8</v>
      </c>
      <c r="L19" s="47">
        <v>48</v>
      </c>
      <c r="M19" s="48">
        <v>0.8</v>
      </c>
      <c r="N19" s="46">
        <v>0.31</v>
      </c>
      <c r="O19" s="47">
        <v>0</v>
      </c>
      <c r="P19" s="94"/>
      <c r="T19" s="93"/>
      <c r="U19" s="45">
        <v>46008.447997685187</v>
      </c>
      <c r="V19" s="46"/>
      <c r="W19" s="47"/>
      <c r="X19" s="48"/>
      <c r="Y19" s="47"/>
      <c r="Z19" s="48"/>
      <c r="AA19" s="95">
        <v>0</v>
      </c>
      <c r="AB19" s="47"/>
    </row>
    <row r="20" spans="7:28">
      <c r="G20" s="294"/>
      <c r="H20" s="91">
        <v>46009.420138831018</v>
      </c>
      <c r="I20" s="46">
        <v>9.5299999999999994</v>
      </c>
      <c r="J20" s="47">
        <v>0</v>
      </c>
      <c r="K20" s="48">
        <v>41.1</v>
      </c>
      <c r="L20" s="47">
        <v>41</v>
      </c>
      <c r="M20" s="48">
        <v>0.1</v>
      </c>
      <c r="N20" s="46">
        <v>0.31</v>
      </c>
      <c r="O20" s="47">
        <v>0</v>
      </c>
      <c r="P20" s="94"/>
      <c r="T20" s="93"/>
      <c r="U20" s="45">
        <v>46008.448692129627</v>
      </c>
      <c r="V20" s="46"/>
      <c r="W20" s="47"/>
      <c r="X20" s="48"/>
      <c r="Y20" s="47"/>
      <c r="Z20" s="48"/>
      <c r="AA20" s="95">
        <v>0</v>
      </c>
      <c r="AB20" s="47"/>
    </row>
    <row r="21" spans="7:28">
      <c r="G21" s="294"/>
      <c r="H21" s="91">
        <v>46009.420833275464</v>
      </c>
      <c r="I21" s="46">
        <v>7.4</v>
      </c>
      <c r="J21" s="47">
        <v>0</v>
      </c>
      <c r="K21" s="48">
        <v>38.200000000000003</v>
      </c>
      <c r="L21" s="47">
        <v>38</v>
      </c>
      <c r="M21" s="48">
        <v>0.2</v>
      </c>
      <c r="N21" s="46">
        <v>0.3</v>
      </c>
      <c r="O21" s="47">
        <v>0</v>
      </c>
      <c r="P21" s="94"/>
      <c r="T21" s="93"/>
      <c r="U21" s="45">
        <v>46008.449386574073</v>
      </c>
      <c r="V21" s="46"/>
      <c r="W21" s="47"/>
      <c r="X21" s="48"/>
      <c r="Y21" s="47"/>
      <c r="Z21" s="48"/>
      <c r="AA21" s="95">
        <v>0</v>
      </c>
      <c r="AB21" s="47"/>
    </row>
    <row r="22" spans="7:28">
      <c r="G22" s="294"/>
      <c r="H22" s="91"/>
      <c r="I22" s="46"/>
      <c r="J22" s="47"/>
      <c r="K22" s="48"/>
      <c r="L22" s="47"/>
      <c r="M22" s="48"/>
      <c r="N22" s="46"/>
      <c r="O22" s="47"/>
      <c r="P22" s="94"/>
      <c r="T22" s="93"/>
      <c r="U22" s="45"/>
      <c r="V22" s="46"/>
      <c r="W22" s="47"/>
      <c r="X22" s="48"/>
      <c r="Y22" s="47"/>
      <c r="Z22" s="48"/>
      <c r="AA22" s="95"/>
      <c r="AB22" s="47"/>
    </row>
    <row r="23" spans="7:28">
      <c r="G23" s="294"/>
      <c r="H23" s="91">
        <v>46009.42222216435</v>
      </c>
      <c r="I23" s="46">
        <v>5.56</v>
      </c>
      <c r="J23" s="47">
        <v>0</v>
      </c>
      <c r="K23" s="48">
        <v>50.8</v>
      </c>
      <c r="L23" s="47">
        <v>50</v>
      </c>
      <c r="M23" s="48">
        <v>0.8</v>
      </c>
      <c r="N23" s="46">
        <v>0.28999999999999998</v>
      </c>
      <c r="O23" s="47">
        <v>0</v>
      </c>
      <c r="P23" s="94"/>
      <c r="T23" s="93"/>
      <c r="U23" s="45">
        <v>46008.450775462959</v>
      </c>
      <c r="V23" s="46"/>
      <c r="W23" s="47"/>
      <c r="X23" s="48"/>
      <c r="Y23" s="47"/>
      <c r="Z23" s="48"/>
      <c r="AA23" s="95">
        <v>0</v>
      </c>
      <c r="AB23" s="47"/>
    </row>
    <row r="24" spans="7:28">
      <c r="G24" s="294"/>
      <c r="H24" s="91">
        <v>46009.422916608797</v>
      </c>
      <c r="I24" s="46">
        <v>5.87</v>
      </c>
      <c r="J24" s="47">
        <v>0</v>
      </c>
      <c r="K24" s="48">
        <v>51.6</v>
      </c>
      <c r="L24" s="47">
        <v>51</v>
      </c>
      <c r="M24" s="48">
        <v>0.6</v>
      </c>
      <c r="N24" s="46">
        <v>0.28999999999999998</v>
      </c>
      <c r="O24" s="47">
        <v>0</v>
      </c>
      <c r="P24" s="94"/>
      <c r="T24" s="93"/>
      <c r="U24" s="45">
        <v>46008.451469907406</v>
      </c>
      <c r="V24" s="46"/>
      <c r="W24" s="47"/>
      <c r="X24" s="48"/>
      <c r="Y24" s="47"/>
      <c r="Z24" s="48"/>
      <c r="AA24" s="95">
        <v>0</v>
      </c>
      <c r="AB24" s="47"/>
    </row>
    <row r="25" spans="7:28">
      <c r="G25" s="294"/>
      <c r="H25" s="91">
        <v>46009.423611053244</v>
      </c>
      <c r="I25" s="46">
        <v>6.03</v>
      </c>
      <c r="J25" s="47">
        <v>0</v>
      </c>
      <c r="K25" s="48">
        <v>51.1</v>
      </c>
      <c r="L25" s="47">
        <v>51</v>
      </c>
      <c r="M25" s="48">
        <v>0.1</v>
      </c>
      <c r="N25" s="46">
        <v>0.28999999999999998</v>
      </c>
      <c r="O25" s="47">
        <v>0</v>
      </c>
      <c r="P25" s="94"/>
      <c r="T25" s="93"/>
      <c r="U25" s="45">
        <v>46008.452164351853</v>
      </c>
      <c r="V25" s="46"/>
      <c r="W25" s="47"/>
      <c r="X25" s="48"/>
      <c r="Y25" s="47"/>
      <c r="Z25" s="48"/>
      <c r="AA25" s="95">
        <v>0</v>
      </c>
      <c r="AB25" s="47"/>
    </row>
    <row r="26" spans="7:28">
      <c r="G26" s="294"/>
      <c r="H26" s="91">
        <v>46009.424305497683</v>
      </c>
      <c r="I26" s="46">
        <v>5.94</v>
      </c>
      <c r="J26" s="47">
        <v>0</v>
      </c>
      <c r="K26" s="48">
        <v>50</v>
      </c>
      <c r="L26" s="47">
        <v>50</v>
      </c>
      <c r="M26" s="48">
        <v>0</v>
      </c>
      <c r="N26" s="46">
        <v>0.28000000000000003</v>
      </c>
      <c r="O26" s="47">
        <v>0</v>
      </c>
      <c r="P26" s="94"/>
      <c r="T26" s="93"/>
      <c r="U26" s="45">
        <v>46008.4528587963</v>
      </c>
      <c r="V26" s="46"/>
      <c r="W26" s="47"/>
      <c r="X26" s="48"/>
      <c r="Y26" s="47"/>
      <c r="Z26" s="48"/>
      <c r="AA26" s="95">
        <v>0</v>
      </c>
      <c r="AB26" s="47"/>
    </row>
    <row r="27" spans="7:28">
      <c r="G27" s="295"/>
      <c r="H27" s="91">
        <v>46009.42499994213</v>
      </c>
      <c r="I27" s="46">
        <v>5.75</v>
      </c>
      <c r="J27" s="47">
        <v>0</v>
      </c>
      <c r="K27" s="48">
        <v>49.2</v>
      </c>
      <c r="L27" s="47">
        <v>49</v>
      </c>
      <c r="M27" s="48">
        <v>0.2</v>
      </c>
      <c r="N27" s="46">
        <v>0.28000000000000003</v>
      </c>
      <c r="O27" s="47">
        <v>0</v>
      </c>
      <c r="P27" s="94"/>
      <c r="T27" s="93"/>
      <c r="U27" s="45">
        <v>46008.453553240739</v>
      </c>
      <c r="V27" s="46"/>
      <c r="W27" s="47"/>
      <c r="X27" s="48"/>
      <c r="Y27" s="47"/>
      <c r="Z27" s="48"/>
      <c r="AA27" s="95">
        <v>0</v>
      </c>
      <c r="AB27" s="47"/>
    </row>
    <row r="28" spans="7:28">
      <c r="G28" s="41" t="s">
        <v>106</v>
      </c>
      <c r="H28" s="83"/>
      <c r="I28" s="58">
        <f t="shared" ref="I28:O28" si="1">AVERAGE(I18:I27)</f>
        <v>6.3611111111111107</v>
      </c>
      <c r="J28" s="59">
        <f t="shared" si="1"/>
        <v>0</v>
      </c>
      <c r="K28" s="60">
        <f t="shared" si="1"/>
        <v>47.56666666666667</v>
      </c>
      <c r="L28" s="59">
        <f t="shared" si="1"/>
        <v>47.222222222222221</v>
      </c>
      <c r="M28" s="60">
        <f t="shared" si="1"/>
        <v>0.3444444444444445</v>
      </c>
      <c r="N28" s="58">
        <f t="shared" si="1"/>
        <v>0.29666666666666663</v>
      </c>
      <c r="O28" s="59">
        <f t="shared" si="1"/>
        <v>0</v>
      </c>
      <c r="P28" s="97"/>
      <c r="T28" s="93"/>
      <c r="U28" s="45">
        <v>46008.454247685186</v>
      </c>
      <c r="V28" s="46"/>
      <c r="W28" s="47"/>
      <c r="X28" s="48"/>
      <c r="Y28" s="47"/>
      <c r="Z28" s="48"/>
      <c r="AA28" s="95">
        <v>0</v>
      </c>
      <c r="AB28" s="47"/>
    </row>
    <row r="29" spans="7:28">
      <c r="G29" s="41"/>
      <c r="H29" s="83"/>
      <c r="I29" s="58"/>
      <c r="J29" s="83"/>
      <c r="K29" s="60"/>
      <c r="L29" s="83"/>
      <c r="M29" s="60"/>
      <c r="N29" s="58"/>
      <c r="O29" s="83"/>
      <c r="P29" s="97"/>
      <c r="T29" s="63"/>
      <c r="U29" s="62"/>
      <c r="V29" s="64"/>
      <c r="W29" s="65"/>
      <c r="X29" s="66"/>
      <c r="Y29" s="65"/>
      <c r="Z29" s="66"/>
      <c r="AA29" s="98"/>
      <c r="AB29" s="65"/>
    </row>
    <row r="30" spans="7:28">
      <c r="G30" s="293" t="s">
        <v>108</v>
      </c>
      <c r="H30" s="41" t="s">
        <v>97</v>
      </c>
      <c r="I30" s="41" t="s">
        <v>98</v>
      </c>
      <c r="J30" s="41" t="s">
        <v>99</v>
      </c>
      <c r="K30" s="41" t="s">
        <v>100</v>
      </c>
      <c r="L30" s="41" t="s">
        <v>101</v>
      </c>
      <c r="M30" s="41" t="s">
        <v>102</v>
      </c>
      <c r="N30" s="41" t="s">
        <v>103</v>
      </c>
      <c r="O30" s="41" t="s">
        <v>104</v>
      </c>
      <c r="P30" s="41" t="s">
        <v>105</v>
      </c>
    </row>
    <row r="31" spans="7:28">
      <c r="G31" s="294"/>
      <c r="H31" s="91">
        <v>46009.604166666664</v>
      </c>
      <c r="I31" s="46">
        <v>5.34</v>
      </c>
      <c r="J31" s="47">
        <v>24</v>
      </c>
      <c r="K31" s="48">
        <v>3.9</v>
      </c>
      <c r="L31" s="47">
        <v>2</v>
      </c>
      <c r="M31" s="48">
        <v>1.9</v>
      </c>
      <c r="N31" s="46">
        <v>74.900000000000006</v>
      </c>
      <c r="O31" s="47">
        <v>3</v>
      </c>
      <c r="P31" s="92">
        <v>4.99</v>
      </c>
      <c r="T31" s="93" t="s">
        <v>108</v>
      </c>
      <c r="U31" s="41" t="s">
        <v>97</v>
      </c>
      <c r="V31" s="41" t="s">
        <v>98</v>
      </c>
      <c r="W31" s="41" t="s">
        <v>99</v>
      </c>
      <c r="X31" s="41" t="s">
        <v>100</v>
      </c>
      <c r="Y31" s="41" t="s">
        <v>101</v>
      </c>
      <c r="Z31" s="41" t="s">
        <v>102</v>
      </c>
      <c r="AA31" s="41" t="s">
        <v>103</v>
      </c>
      <c r="AB31" s="41" t="s">
        <v>104</v>
      </c>
    </row>
    <row r="32" spans="7:28">
      <c r="G32" s="294"/>
      <c r="H32" s="91">
        <v>46009.604861111111</v>
      </c>
      <c r="I32" s="46">
        <v>1.5</v>
      </c>
      <c r="J32" s="47">
        <v>19</v>
      </c>
      <c r="K32" s="48">
        <v>4.7</v>
      </c>
      <c r="L32" s="47">
        <v>4</v>
      </c>
      <c r="M32" s="48">
        <v>0.7</v>
      </c>
      <c r="N32" s="46">
        <v>95.92</v>
      </c>
      <c r="O32" s="47">
        <v>2</v>
      </c>
      <c r="P32" s="94"/>
      <c r="T32" s="93"/>
      <c r="U32" s="91">
        <v>46008.57916666667</v>
      </c>
      <c r="V32" s="46"/>
      <c r="W32" s="47"/>
      <c r="X32" s="48"/>
      <c r="Y32" s="47"/>
      <c r="Z32" s="48"/>
      <c r="AA32" s="95">
        <v>94.84</v>
      </c>
      <c r="AB32" s="47"/>
    </row>
    <row r="33" spans="2:28">
      <c r="G33" s="294"/>
      <c r="H33" s="91">
        <v>46009.605555555558</v>
      </c>
      <c r="I33" s="46">
        <v>4.16</v>
      </c>
      <c r="J33" s="47">
        <v>15</v>
      </c>
      <c r="K33" s="48">
        <v>5.0999999999999996</v>
      </c>
      <c r="L33" s="47">
        <v>5</v>
      </c>
      <c r="M33" s="48">
        <v>0.1</v>
      </c>
      <c r="N33" s="46">
        <v>91.5</v>
      </c>
      <c r="O33" s="47">
        <v>1</v>
      </c>
      <c r="P33" s="94"/>
      <c r="T33" s="93"/>
      <c r="U33" s="91">
        <v>46008.579861111109</v>
      </c>
      <c r="V33" s="46"/>
      <c r="W33" s="47"/>
      <c r="X33" s="48"/>
      <c r="Y33" s="47"/>
      <c r="Z33" s="48"/>
      <c r="AA33" s="95">
        <v>100</v>
      </c>
      <c r="AB33" s="47"/>
    </row>
    <row r="34" spans="2:28">
      <c r="G34" s="294"/>
      <c r="H34" s="91">
        <v>46009.606249999997</v>
      </c>
      <c r="I34" s="46">
        <v>7.95</v>
      </c>
      <c r="J34" s="47">
        <v>11</v>
      </c>
      <c r="K34" s="48">
        <v>5</v>
      </c>
      <c r="L34" s="47">
        <v>5</v>
      </c>
      <c r="M34" s="48">
        <v>0</v>
      </c>
      <c r="N34" s="46">
        <v>81.95</v>
      </c>
      <c r="O34" s="47">
        <v>1</v>
      </c>
      <c r="P34" s="94"/>
      <c r="T34" s="93"/>
      <c r="U34" s="91">
        <v>46008.580555555556</v>
      </c>
      <c r="V34" s="46"/>
      <c r="W34" s="47"/>
      <c r="X34" s="48"/>
      <c r="Y34" s="47"/>
      <c r="Z34" s="48"/>
      <c r="AA34" s="95">
        <v>100</v>
      </c>
      <c r="AB34" s="47"/>
    </row>
    <row r="35" spans="2:28">
      <c r="G35" s="294"/>
      <c r="H35" s="91">
        <v>46009.606944444444</v>
      </c>
      <c r="I35" s="46">
        <v>9.0500000000000007</v>
      </c>
      <c r="J35" s="47">
        <v>9</v>
      </c>
      <c r="K35" s="48">
        <v>4.9000000000000004</v>
      </c>
      <c r="L35" s="47">
        <v>4</v>
      </c>
      <c r="M35" s="48">
        <v>0.9</v>
      </c>
      <c r="N35" s="46">
        <v>73.75</v>
      </c>
      <c r="O35" s="47">
        <v>1</v>
      </c>
      <c r="P35" s="94"/>
      <c r="T35" s="93"/>
      <c r="U35" s="91">
        <v>46008.581250000003</v>
      </c>
      <c r="V35" s="46"/>
      <c r="W35" s="47"/>
      <c r="X35" s="48"/>
      <c r="Y35" s="47"/>
      <c r="Z35" s="48"/>
      <c r="AA35" s="95">
        <v>100</v>
      </c>
      <c r="AB35" s="47"/>
    </row>
    <row r="36" spans="2:28">
      <c r="G36" s="294"/>
      <c r="H36" s="91">
        <v>46009.607638888891</v>
      </c>
      <c r="I36" s="46">
        <v>10.01</v>
      </c>
      <c r="J36" s="47">
        <v>8</v>
      </c>
      <c r="K36" s="48">
        <v>5</v>
      </c>
      <c r="L36" s="47">
        <v>5</v>
      </c>
      <c r="M36" s="48">
        <v>0</v>
      </c>
      <c r="N36" s="46">
        <v>68.52</v>
      </c>
      <c r="O36" s="47">
        <v>1</v>
      </c>
      <c r="P36" s="94"/>
      <c r="T36" s="93"/>
      <c r="U36" s="91">
        <v>46008.581944444442</v>
      </c>
      <c r="V36" s="46"/>
      <c r="W36" s="47"/>
      <c r="X36" s="48"/>
      <c r="Y36" s="47"/>
      <c r="Z36" s="48"/>
      <c r="AA36" s="95">
        <v>100</v>
      </c>
      <c r="AB36" s="47"/>
    </row>
    <row r="37" spans="2:28">
      <c r="G37" s="294"/>
      <c r="H37" s="91">
        <v>46009.60833333333</v>
      </c>
      <c r="I37" s="46">
        <v>13.03</v>
      </c>
      <c r="J37" s="47">
        <v>6</v>
      </c>
      <c r="K37" s="48">
        <v>4</v>
      </c>
      <c r="L37" s="47">
        <v>4</v>
      </c>
      <c r="M37" s="48">
        <v>0</v>
      </c>
      <c r="N37" s="46">
        <v>47.09</v>
      </c>
      <c r="O37" s="47">
        <v>1</v>
      </c>
      <c r="P37" s="94"/>
      <c r="T37" s="93"/>
      <c r="U37" s="91">
        <v>46008.582638888889</v>
      </c>
      <c r="V37" s="46"/>
      <c r="W37" s="47"/>
      <c r="X37" s="48"/>
      <c r="Y37" s="47"/>
      <c r="Z37" s="48"/>
      <c r="AA37" s="95">
        <v>100</v>
      </c>
      <c r="AB37" s="47"/>
    </row>
    <row r="38" spans="2:28">
      <c r="G38" s="294"/>
      <c r="H38" s="91">
        <v>46009.609027777777</v>
      </c>
      <c r="I38" s="46">
        <v>7.45</v>
      </c>
      <c r="J38" s="47">
        <v>11</v>
      </c>
      <c r="K38" s="48">
        <v>7.2</v>
      </c>
      <c r="L38" s="47">
        <v>7</v>
      </c>
      <c r="M38" s="48">
        <v>0.2</v>
      </c>
      <c r="N38" s="46">
        <v>77.16</v>
      </c>
      <c r="O38" s="47">
        <v>1</v>
      </c>
      <c r="P38" s="94"/>
      <c r="T38" s="93"/>
      <c r="U38" s="91">
        <v>46008.583333333336</v>
      </c>
      <c r="V38" s="46"/>
      <c r="W38" s="47"/>
      <c r="X38" s="48"/>
      <c r="Y38" s="47"/>
      <c r="Z38" s="48"/>
      <c r="AA38" s="95">
        <v>100</v>
      </c>
      <c r="AB38" s="47"/>
    </row>
    <row r="39" spans="2:28">
      <c r="G39" s="294"/>
      <c r="H39" s="91">
        <v>46009.609722222223</v>
      </c>
      <c r="I39" s="46">
        <v>6.7</v>
      </c>
      <c r="J39" s="47">
        <v>13</v>
      </c>
      <c r="K39" s="48">
        <v>7.9</v>
      </c>
      <c r="L39" s="47">
        <v>7</v>
      </c>
      <c r="M39" s="48">
        <v>0.9</v>
      </c>
      <c r="N39" s="46">
        <v>81.36</v>
      </c>
      <c r="O39" s="47">
        <v>1</v>
      </c>
      <c r="P39" s="94"/>
      <c r="T39" s="93"/>
      <c r="U39" s="91">
        <v>46008.584027777775</v>
      </c>
      <c r="V39" s="46"/>
      <c r="W39" s="47"/>
      <c r="X39" s="48"/>
      <c r="Y39" s="47"/>
      <c r="Z39" s="48"/>
      <c r="AA39" s="95">
        <v>100</v>
      </c>
      <c r="AB39" s="47"/>
    </row>
    <row r="40" spans="2:28">
      <c r="G40" s="295"/>
      <c r="H40" s="91">
        <v>46009.61041666667</v>
      </c>
      <c r="I40" s="46">
        <v>7.56</v>
      </c>
      <c r="J40" s="47">
        <v>12</v>
      </c>
      <c r="K40" s="48">
        <v>8</v>
      </c>
      <c r="L40" s="47">
        <v>8</v>
      </c>
      <c r="M40" s="48">
        <v>0</v>
      </c>
      <c r="N40" s="46">
        <v>78.489999999999995</v>
      </c>
      <c r="O40" s="47">
        <v>1</v>
      </c>
      <c r="P40" s="94"/>
      <c r="T40" s="93"/>
      <c r="U40" s="91">
        <v>46008.584722222222</v>
      </c>
      <c r="V40" s="46"/>
      <c r="W40" s="47"/>
      <c r="X40" s="48"/>
      <c r="Y40" s="47"/>
      <c r="Z40" s="48"/>
      <c r="AA40" s="95">
        <v>100</v>
      </c>
      <c r="AB40" s="47"/>
    </row>
    <row r="41" spans="2:28">
      <c r="G41" s="41" t="s">
        <v>106</v>
      </c>
      <c r="H41" s="83"/>
      <c r="I41" s="58">
        <f t="shared" ref="I41:O41" si="2">AVERAGE(I31:I40)</f>
        <v>7.2750000000000004</v>
      </c>
      <c r="J41" s="59">
        <f t="shared" si="2"/>
        <v>12.8</v>
      </c>
      <c r="K41" s="60">
        <f t="shared" si="2"/>
        <v>5.57</v>
      </c>
      <c r="L41" s="59">
        <f t="shared" si="2"/>
        <v>5.0999999999999996</v>
      </c>
      <c r="M41" s="60">
        <f t="shared" si="2"/>
        <v>0.47000000000000003</v>
      </c>
      <c r="N41" s="58">
        <f t="shared" si="2"/>
        <v>77.063999999999993</v>
      </c>
      <c r="O41" s="59">
        <f t="shared" si="2"/>
        <v>1.3</v>
      </c>
      <c r="P41" s="97"/>
      <c r="T41" s="93"/>
      <c r="U41" s="91">
        <v>46008.585416666669</v>
      </c>
      <c r="V41" s="46"/>
      <c r="W41" s="47"/>
      <c r="X41" s="48"/>
      <c r="Y41" s="47"/>
      <c r="Z41" s="48"/>
      <c r="AA41" s="95">
        <v>100</v>
      </c>
      <c r="AB41" s="47"/>
    </row>
    <row r="42" spans="2:28">
      <c r="T42" s="41" t="s">
        <v>106</v>
      </c>
      <c r="U42" s="83"/>
      <c r="V42" s="58"/>
      <c r="W42" s="83"/>
      <c r="X42" s="60"/>
      <c r="Y42" s="83"/>
      <c r="Z42" s="60"/>
      <c r="AA42" s="58">
        <f>AVERAGE(AA32:AA41)</f>
        <v>99.484000000000009</v>
      </c>
      <c r="AB42" s="83"/>
    </row>
    <row r="47" spans="2:28" ht="18">
      <c r="B47" s="40" t="s">
        <v>119</v>
      </c>
    </row>
    <row r="75" spans="2:2" ht="18">
      <c r="B75" s="40" t="s">
        <v>120</v>
      </c>
    </row>
  </sheetData>
  <mergeCells count="3">
    <mergeCell ref="G4:G14"/>
    <mergeCell ref="G17:G27"/>
    <mergeCell ref="G30:G4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1000"/>
  <sheetViews>
    <sheetView showGridLines="0" workbookViewId="0"/>
  </sheetViews>
  <sheetFormatPr defaultColWidth="12.6640625" defaultRowHeight="15" customHeight="1"/>
  <cols>
    <col min="1" max="1" width="14.6640625" customWidth="1"/>
    <col min="2" max="2" width="5.33203125" customWidth="1"/>
    <col min="3" max="3" width="13.6640625" customWidth="1"/>
    <col min="4" max="4" width="15.109375" customWidth="1"/>
    <col min="5" max="5" width="10.33203125" customWidth="1"/>
    <col min="6" max="7" width="8.44140625" customWidth="1"/>
    <col min="8" max="8" width="6.33203125" customWidth="1"/>
    <col min="9" max="9" width="8.109375" customWidth="1"/>
    <col min="10" max="11" width="7.33203125" customWidth="1"/>
    <col min="12" max="12" width="9" customWidth="1"/>
    <col min="13" max="13" width="10.33203125" customWidth="1"/>
    <col min="14" max="14" width="9.88671875" customWidth="1"/>
    <col min="15" max="15" width="8.109375" customWidth="1"/>
    <col min="16" max="16" width="10.109375" customWidth="1"/>
    <col min="17" max="17" width="10.6640625" customWidth="1"/>
    <col min="18" max="18" width="16" customWidth="1"/>
    <col min="19" max="19" width="10.6640625" customWidth="1"/>
    <col min="20" max="24" width="24.33203125" customWidth="1"/>
    <col min="25" max="25" width="14.6640625" customWidth="1"/>
    <col min="26" max="26" width="10.6640625" customWidth="1"/>
    <col min="27" max="27" width="8.6640625" customWidth="1"/>
    <col min="28" max="29" width="7.6640625" customWidth="1"/>
    <col min="30" max="30" width="14.33203125" customWidth="1"/>
    <col min="31" max="31" width="7.6640625" customWidth="1"/>
    <col min="32" max="32" width="17.6640625" customWidth="1"/>
    <col min="33" max="35" width="8.6640625" customWidth="1"/>
    <col min="36" max="36" width="23.6640625" customWidth="1"/>
    <col min="37" max="38" width="8.6640625" customWidth="1"/>
    <col min="39" max="39" width="14.33203125" customWidth="1"/>
    <col min="40" max="56" width="8.6640625" customWidth="1"/>
  </cols>
  <sheetData>
    <row r="1" spans="1:42" ht="16.5" customHeight="1">
      <c r="A1" s="1" t="s">
        <v>0</v>
      </c>
    </row>
    <row r="2" spans="1:42" ht="16.5" customHeight="1"/>
    <row r="3" spans="1:42" ht="16.5" customHeight="1">
      <c r="B3" s="262" t="s">
        <v>121</v>
      </c>
      <c r="C3" s="264" t="s">
        <v>2</v>
      </c>
      <c r="D3" s="264" t="s">
        <v>3</v>
      </c>
      <c r="E3" s="266" t="s">
        <v>4</v>
      </c>
      <c r="F3" s="267"/>
      <c r="G3" s="267"/>
      <c r="H3" s="267"/>
      <c r="I3" s="267"/>
      <c r="J3" s="267"/>
      <c r="K3" s="267"/>
      <c r="L3" s="268"/>
      <c r="M3" s="269" t="s">
        <v>5</v>
      </c>
      <c r="N3" s="267"/>
      <c r="O3" s="267"/>
      <c r="P3" s="268"/>
      <c r="Q3" s="270" t="s">
        <v>6</v>
      </c>
      <c r="R3" s="267"/>
      <c r="S3" s="267"/>
      <c r="T3" s="267"/>
      <c r="U3" s="267"/>
      <c r="V3" s="267"/>
      <c r="W3" s="267"/>
      <c r="X3" s="267"/>
      <c r="Y3" s="268"/>
      <c r="Z3" s="271" t="s">
        <v>7</v>
      </c>
      <c r="AA3" s="267"/>
      <c r="AB3" s="267"/>
      <c r="AC3" s="267"/>
      <c r="AD3" s="267"/>
      <c r="AE3" s="267"/>
      <c r="AF3" s="272"/>
      <c r="AK3" s="123" t="s">
        <v>122</v>
      </c>
      <c r="AM3" s="123" t="s">
        <v>123</v>
      </c>
      <c r="AN3" s="123" t="s">
        <v>124</v>
      </c>
      <c r="AP3" s="123" t="s">
        <v>125</v>
      </c>
    </row>
    <row r="4" spans="1:42" ht="68.25" customHeight="1">
      <c r="B4" s="263"/>
      <c r="C4" s="265"/>
      <c r="D4" s="265"/>
      <c r="E4" s="201" t="s">
        <v>8</v>
      </c>
      <c r="F4" s="273" t="s">
        <v>9</v>
      </c>
      <c r="G4" s="274"/>
      <c r="H4" s="275"/>
      <c r="I4" s="202" t="s">
        <v>10</v>
      </c>
      <c r="J4" s="273" t="s">
        <v>11</v>
      </c>
      <c r="K4" s="274"/>
      <c r="L4" s="276"/>
      <c r="M4" s="203" t="s">
        <v>8</v>
      </c>
      <c r="N4" s="204" t="s">
        <v>9</v>
      </c>
      <c r="O4" s="204" t="s">
        <v>10</v>
      </c>
      <c r="P4" s="3" t="s">
        <v>11</v>
      </c>
      <c r="Q4" s="277" t="s">
        <v>126</v>
      </c>
      <c r="R4" s="274"/>
      <c r="S4" s="275"/>
      <c r="T4" s="278" t="s">
        <v>127</v>
      </c>
      <c r="U4" s="274"/>
      <c r="V4" s="275"/>
      <c r="W4" s="278" t="s">
        <v>14</v>
      </c>
      <c r="X4" s="274"/>
      <c r="Y4" s="276"/>
      <c r="Z4" s="205" t="s">
        <v>8</v>
      </c>
      <c r="AA4" s="206" t="s">
        <v>9</v>
      </c>
      <c r="AB4" s="206" t="s">
        <v>10</v>
      </c>
      <c r="AC4" s="207" t="s">
        <v>15</v>
      </c>
      <c r="AD4" s="296" t="s">
        <v>128</v>
      </c>
      <c r="AE4" s="274"/>
      <c r="AF4" s="297"/>
    </row>
    <row r="5" spans="1:42" ht="68.25" customHeight="1">
      <c r="B5" s="42"/>
      <c r="C5" s="43"/>
      <c r="D5" s="43"/>
      <c r="E5" s="208"/>
      <c r="F5" s="202">
        <v>10.1</v>
      </c>
      <c r="G5" s="202">
        <v>14.9</v>
      </c>
      <c r="H5" s="202">
        <v>17.100000000000001</v>
      </c>
      <c r="I5" s="209"/>
      <c r="J5" s="202">
        <v>10.1</v>
      </c>
      <c r="K5" s="202">
        <v>14.9</v>
      </c>
      <c r="L5" s="202">
        <v>17.100000000000001</v>
      </c>
      <c r="M5" s="208"/>
      <c r="N5" s="209"/>
      <c r="O5" s="209"/>
      <c r="P5" s="44"/>
      <c r="Q5" s="210">
        <v>10.1</v>
      </c>
      <c r="R5" s="210">
        <v>14.9</v>
      </c>
      <c r="S5" s="210">
        <v>17.100000000000001</v>
      </c>
      <c r="T5" s="210">
        <v>10.1</v>
      </c>
      <c r="U5" s="210">
        <v>14.9</v>
      </c>
      <c r="V5" s="210">
        <v>17.100000000000001</v>
      </c>
      <c r="W5" s="210">
        <v>10.1</v>
      </c>
      <c r="X5" s="210">
        <v>14.9</v>
      </c>
      <c r="Y5" s="210">
        <v>17.100000000000001</v>
      </c>
      <c r="Z5" s="211"/>
      <c r="AA5" s="212"/>
      <c r="AB5" s="212"/>
      <c r="AC5" s="213"/>
      <c r="AD5" s="207">
        <v>10.1</v>
      </c>
      <c r="AE5" s="207">
        <v>14.9</v>
      </c>
      <c r="AF5" s="5">
        <v>17.100000000000001</v>
      </c>
    </row>
    <row r="6" spans="1:42" ht="16.5" customHeight="1">
      <c r="A6" s="6">
        <v>45903</v>
      </c>
      <c r="B6" s="7">
        <v>1</v>
      </c>
      <c r="C6" s="8">
        <v>0.27916666666666667</v>
      </c>
      <c r="D6" s="236">
        <v>0.27916666666666667</v>
      </c>
      <c r="E6" s="9">
        <v>18.079999999999998</v>
      </c>
      <c r="F6" s="9">
        <v>10.1</v>
      </c>
      <c r="G6" s="9">
        <v>14.9</v>
      </c>
      <c r="H6" s="9">
        <v>17.100000000000001</v>
      </c>
      <c r="I6" s="9">
        <v>47.83</v>
      </c>
      <c r="J6" s="10">
        <f t="shared" ref="J6:J35" si="0">IFERROR(ROUND(E6*F6*1.84*(I6/60)*0.01,2),0)</f>
        <v>2.68</v>
      </c>
      <c r="K6" s="10">
        <f t="shared" ref="K6:K35" si="1">IFERROR(ROUND(E6*G6*1.84*(I6/60)*0.01,2),0)</f>
        <v>3.95</v>
      </c>
      <c r="L6" s="10">
        <f t="shared" ref="L6:L35" si="2">IFERROR(ROUND(E6*H6*1.84*(I6/60)*0.01,2),0)</f>
        <v>4.53</v>
      </c>
      <c r="M6" s="11">
        <v>15</v>
      </c>
      <c r="N6" s="9">
        <v>5.1999999999999995E-4</v>
      </c>
      <c r="O6" s="9">
        <v>47.83</v>
      </c>
      <c r="P6" s="12">
        <f t="shared" ref="P6:P11" si="3">ROUND(M6*N6*1.84*(O6/60)*0.01,5)</f>
        <v>1.1E-4</v>
      </c>
      <c r="Q6" s="214">
        <f t="shared" ref="Q6:S6" si="4">IFERROR(J6-$P6,0)</f>
        <v>2.6798900000000003</v>
      </c>
      <c r="R6" s="214">
        <f t="shared" si="4"/>
        <v>3.9498900000000003</v>
      </c>
      <c r="S6" s="214">
        <f t="shared" si="4"/>
        <v>4.52989</v>
      </c>
      <c r="T6" s="53">
        <f t="shared" ref="T6:V6" si="5">Q6</f>
        <v>2.6798900000000003</v>
      </c>
      <c r="U6" s="53">
        <f t="shared" si="5"/>
        <v>3.9498900000000003</v>
      </c>
      <c r="V6" s="53">
        <f t="shared" si="5"/>
        <v>4.52989</v>
      </c>
      <c r="W6" s="13">
        <f t="shared" ref="W6:Y6" si="6">IFERROR(ROUND(Q6/J6*100,2),0)</f>
        <v>100</v>
      </c>
      <c r="X6" s="13">
        <f t="shared" si="6"/>
        <v>100</v>
      </c>
      <c r="Y6" s="13">
        <f t="shared" si="6"/>
        <v>100</v>
      </c>
      <c r="Z6" s="11">
        <v>0.2</v>
      </c>
      <c r="AA6" s="9">
        <v>53.88</v>
      </c>
      <c r="AB6" s="96">
        <v>60.5</v>
      </c>
      <c r="AC6" s="56">
        <f t="shared" ref="AC6:AC9" si="7">ROUND(Z6*AA6*1.84*(AB6/60)*0.01,2)</f>
        <v>0.2</v>
      </c>
      <c r="AD6" s="56">
        <f t="shared" ref="AD6:AF6" si="8">IFERROR(ROUND($AC6/Q6*100,2),0)</f>
        <v>7.46</v>
      </c>
      <c r="AE6" s="56">
        <f t="shared" si="8"/>
        <v>5.0599999999999996</v>
      </c>
      <c r="AF6" s="14">
        <f t="shared" si="8"/>
        <v>4.42</v>
      </c>
      <c r="AH6" s="15" t="s">
        <v>129</v>
      </c>
      <c r="AK6" s="123">
        <v>10</v>
      </c>
      <c r="AL6" s="10">
        <f t="shared" ref="AL6:AL35" si="9">IFERROR(ROUND(E6*AK6*1.84*(I6/60)*0.01,2),0)</f>
        <v>2.65</v>
      </c>
      <c r="AM6" s="123">
        <f>AL6</f>
        <v>2.65</v>
      </c>
      <c r="AN6" s="123">
        <v>17.100000000000001</v>
      </c>
      <c r="AO6" s="10">
        <f t="shared" ref="AO6:AO35" si="10">IFERROR(ROUND(E6*AN6*1.84*(I6/60)*0.01,2),"0")</f>
        <v>4.53</v>
      </c>
      <c r="AP6" s="123">
        <f>AO6</f>
        <v>4.53</v>
      </c>
    </row>
    <row r="7" spans="1:42" ht="16.5" customHeight="1">
      <c r="A7" s="6">
        <v>45905</v>
      </c>
      <c r="B7" s="7">
        <v>2</v>
      </c>
      <c r="C7" s="8">
        <v>0.3347222222222222</v>
      </c>
      <c r="D7" s="237">
        <f t="shared" ref="D7:D35" si="11">D6+C7</f>
        <v>0.61388888888888893</v>
      </c>
      <c r="E7" s="16">
        <v>15.31981132075477</v>
      </c>
      <c r="F7" s="9">
        <v>10.1</v>
      </c>
      <c r="G7" s="9">
        <v>14.9</v>
      </c>
      <c r="H7" s="9">
        <v>17.100000000000001</v>
      </c>
      <c r="I7" s="16">
        <v>141.16666666666666</v>
      </c>
      <c r="J7" s="10">
        <f t="shared" si="0"/>
        <v>6.7</v>
      </c>
      <c r="K7" s="10">
        <f t="shared" si="1"/>
        <v>9.8800000000000008</v>
      </c>
      <c r="L7" s="10">
        <f t="shared" si="2"/>
        <v>11.34</v>
      </c>
      <c r="M7" s="11">
        <v>15</v>
      </c>
      <c r="N7" s="9">
        <v>1.5898584905660356E-4</v>
      </c>
      <c r="O7" s="16">
        <v>141.16666666666666</v>
      </c>
      <c r="P7" s="12">
        <f t="shared" si="3"/>
        <v>1E-4</v>
      </c>
      <c r="Q7" s="214">
        <f t="shared" ref="Q7:S7" si="12">IFERROR(J7-$P7,0)</f>
        <v>6.6999000000000004</v>
      </c>
      <c r="R7" s="214">
        <f t="shared" si="12"/>
        <v>9.879900000000001</v>
      </c>
      <c r="S7" s="214">
        <f t="shared" si="12"/>
        <v>11.3399</v>
      </c>
      <c r="T7" s="53">
        <f t="shared" ref="T7:V7" si="13">T6+Q7</f>
        <v>9.3797899999999998</v>
      </c>
      <c r="U7" s="53">
        <f t="shared" si="13"/>
        <v>13.829790000000001</v>
      </c>
      <c r="V7" s="53">
        <f t="shared" si="13"/>
        <v>15.86979</v>
      </c>
      <c r="W7" s="13">
        <f t="shared" ref="W7:Y7" si="14">IFERROR(ROUND(Q7/J7*100,2),0)</f>
        <v>100</v>
      </c>
      <c r="X7" s="13">
        <f t="shared" si="14"/>
        <v>100</v>
      </c>
      <c r="Y7" s="13">
        <f t="shared" si="14"/>
        <v>100</v>
      </c>
      <c r="Z7" s="17">
        <v>0.20002732240437293</v>
      </c>
      <c r="AA7" s="9">
        <v>53.88</v>
      </c>
      <c r="AB7" s="57">
        <v>60.833333333333336</v>
      </c>
      <c r="AC7" s="56">
        <f t="shared" si="7"/>
        <v>0.2</v>
      </c>
      <c r="AD7" s="56">
        <f t="shared" ref="AD7:AF7" si="15">IFERROR(ROUND($AC7/Q7*100,2),0)</f>
        <v>2.99</v>
      </c>
      <c r="AE7" s="56">
        <f t="shared" si="15"/>
        <v>2.02</v>
      </c>
      <c r="AF7" s="14">
        <f t="shared" si="15"/>
        <v>1.76</v>
      </c>
      <c r="AK7" s="123">
        <v>10</v>
      </c>
      <c r="AL7" s="10">
        <f t="shared" si="9"/>
        <v>6.63</v>
      </c>
      <c r="AM7" s="123">
        <f t="shared" ref="AM7:AM35" si="16">AM6+AL7</f>
        <v>9.2799999999999994</v>
      </c>
      <c r="AN7" s="123">
        <v>17.100000000000001</v>
      </c>
      <c r="AO7" s="10">
        <f t="shared" si="10"/>
        <v>11.34</v>
      </c>
      <c r="AP7" s="123">
        <f t="shared" ref="AP7:AP35" si="17">AP6+AO7</f>
        <v>15.870000000000001</v>
      </c>
    </row>
    <row r="8" spans="1:42" ht="16.5" customHeight="1">
      <c r="A8" s="6">
        <v>45908</v>
      </c>
      <c r="B8" s="7">
        <v>3</v>
      </c>
      <c r="C8" s="8">
        <v>0.24722222222222218</v>
      </c>
      <c r="D8" s="237">
        <f t="shared" si="11"/>
        <v>0.86111111111111116</v>
      </c>
      <c r="E8" s="9">
        <v>16.68</v>
      </c>
      <c r="F8" s="9">
        <v>10.1</v>
      </c>
      <c r="G8" s="9">
        <v>14.9</v>
      </c>
      <c r="H8" s="9">
        <v>17.100000000000001</v>
      </c>
      <c r="I8" s="16">
        <v>92.333333333333329</v>
      </c>
      <c r="J8" s="10">
        <f t="shared" si="0"/>
        <v>4.7699999999999996</v>
      </c>
      <c r="K8" s="10">
        <f t="shared" si="1"/>
        <v>7.04</v>
      </c>
      <c r="L8" s="10">
        <f t="shared" si="2"/>
        <v>8.08</v>
      </c>
      <c r="M8" s="11">
        <v>15</v>
      </c>
      <c r="N8" s="18">
        <v>1.6387387387387436E-3</v>
      </c>
      <c r="O8" s="16">
        <v>92.333333333333329</v>
      </c>
      <c r="P8" s="12">
        <f t="shared" si="3"/>
        <v>6.9999999999999999E-4</v>
      </c>
      <c r="Q8" s="214">
        <f t="shared" ref="Q8:S8" si="18">IFERROR(J8-$P8,0)</f>
        <v>4.7692999999999994</v>
      </c>
      <c r="R8" s="214">
        <f t="shared" si="18"/>
        <v>7.0392999999999999</v>
      </c>
      <c r="S8" s="214">
        <f t="shared" si="18"/>
        <v>8.0792999999999999</v>
      </c>
      <c r="T8" s="53">
        <f t="shared" ref="T8:V8" si="19">T7+Q8</f>
        <v>14.149089999999999</v>
      </c>
      <c r="U8" s="53">
        <f t="shared" si="19"/>
        <v>20.86909</v>
      </c>
      <c r="V8" s="53">
        <f t="shared" si="19"/>
        <v>23.949089999999998</v>
      </c>
      <c r="W8" s="13">
        <f t="shared" ref="W8:Y8" si="20">IFERROR(ROUND(Q8/J8*100,2),0)</f>
        <v>99.99</v>
      </c>
      <c r="X8" s="13">
        <f t="shared" si="20"/>
        <v>99.99</v>
      </c>
      <c r="Y8" s="13">
        <f t="shared" si="20"/>
        <v>99.99</v>
      </c>
      <c r="Z8" s="11">
        <v>0.5</v>
      </c>
      <c r="AA8" s="9">
        <v>53.88</v>
      </c>
      <c r="AB8" s="57">
        <v>60.833333333333336</v>
      </c>
      <c r="AC8" s="56">
        <f t="shared" si="7"/>
        <v>0.5</v>
      </c>
      <c r="AD8" s="56">
        <f t="shared" ref="AD8:AF8" si="21">IFERROR(ROUND($AC8/Q8*100,2),0)</f>
        <v>10.48</v>
      </c>
      <c r="AE8" s="56">
        <f t="shared" si="21"/>
        <v>7.1</v>
      </c>
      <c r="AF8" s="14">
        <f t="shared" si="21"/>
        <v>6.19</v>
      </c>
      <c r="AH8" s="15" t="s">
        <v>130</v>
      </c>
      <c r="AK8" s="123">
        <v>10</v>
      </c>
      <c r="AL8" s="10">
        <f t="shared" si="9"/>
        <v>4.72</v>
      </c>
      <c r="AM8" s="123">
        <f t="shared" si="16"/>
        <v>14</v>
      </c>
      <c r="AN8" s="123">
        <v>17.100000000000001</v>
      </c>
      <c r="AO8" s="10">
        <f t="shared" si="10"/>
        <v>8.08</v>
      </c>
      <c r="AP8" s="123">
        <f t="shared" si="17"/>
        <v>23.950000000000003</v>
      </c>
    </row>
    <row r="9" spans="1:42" ht="16.5" customHeight="1">
      <c r="A9" s="6">
        <v>45909</v>
      </c>
      <c r="B9" s="7">
        <v>4</v>
      </c>
      <c r="C9" s="8">
        <v>0.2805555555555555</v>
      </c>
      <c r="D9" s="215">
        <f t="shared" si="11"/>
        <v>1.1416666666666666</v>
      </c>
      <c r="E9" s="9">
        <v>16.57</v>
      </c>
      <c r="F9" s="9">
        <v>10.1</v>
      </c>
      <c r="G9" s="9">
        <v>14.9</v>
      </c>
      <c r="H9" s="9">
        <v>17.100000000000001</v>
      </c>
      <c r="I9" s="16">
        <v>107.16666666666667</v>
      </c>
      <c r="J9" s="10">
        <f t="shared" si="0"/>
        <v>5.5</v>
      </c>
      <c r="K9" s="10">
        <f t="shared" si="1"/>
        <v>8.11</v>
      </c>
      <c r="L9" s="10">
        <f t="shared" si="2"/>
        <v>9.31</v>
      </c>
      <c r="M9" s="11">
        <v>15</v>
      </c>
      <c r="N9" s="18">
        <v>5.9543478260869578E-4</v>
      </c>
      <c r="O9" s="16">
        <v>107.16666666666667</v>
      </c>
      <c r="P9" s="12">
        <f t="shared" si="3"/>
        <v>2.9E-4</v>
      </c>
      <c r="Q9" s="214">
        <f t="shared" ref="Q9:S9" si="22">IFERROR(J9-$P9,0)</f>
        <v>5.4997100000000003</v>
      </c>
      <c r="R9" s="214">
        <f t="shared" si="22"/>
        <v>8.1097099999999998</v>
      </c>
      <c r="S9" s="214">
        <f t="shared" si="22"/>
        <v>9.3097100000000008</v>
      </c>
      <c r="T9" s="53">
        <f t="shared" ref="T9:V9" si="23">T8+Q9</f>
        <v>19.648800000000001</v>
      </c>
      <c r="U9" s="53">
        <f t="shared" si="23"/>
        <v>28.9788</v>
      </c>
      <c r="V9" s="53">
        <f t="shared" si="23"/>
        <v>33.258800000000001</v>
      </c>
      <c r="W9" s="13">
        <f t="shared" ref="W9:Y9" si="24">IFERROR(ROUND(Q9/J9*100,2),0)</f>
        <v>99.99</v>
      </c>
      <c r="X9" s="13">
        <f t="shared" si="24"/>
        <v>100</v>
      </c>
      <c r="Y9" s="13">
        <f t="shared" si="24"/>
        <v>100</v>
      </c>
      <c r="Z9" s="11">
        <v>0.46</v>
      </c>
      <c r="AA9" s="9">
        <v>53.88</v>
      </c>
      <c r="AB9" s="57">
        <v>60.833333333333336</v>
      </c>
      <c r="AC9" s="56">
        <f t="shared" si="7"/>
        <v>0.46</v>
      </c>
      <c r="AD9" s="56">
        <f t="shared" ref="AD9:AF9" si="25">IFERROR(ROUND($AC9/Q9*100,2),0)</f>
        <v>8.36</v>
      </c>
      <c r="AE9" s="56">
        <f t="shared" si="25"/>
        <v>5.67</v>
      </c>
      <c r="AF9" s="14">
        <f t="shared" si="25"/>
        <v>4.9400000000000004</v>
      </c>
      <c r="AK9" s="123">
        <v>10</v>
      </c>
      <c r="AL9" s="10">
        <f t="shared" si="9"/>
        <v>5.45</v>
      </c>
      <c r="AM9" s="123">
        <f t="shared" si="16"/>
        <v>19.45</v>
      </c>
      <c r="AN9" s="123">
        <v>17.100000000000001</v>
      </c>
      <c r="AO9" s="10">
        <f t="shared" si="10"/>
        <v>9.31</v>
      </c>
      <c r="AP9" s="123">
        <f t="shared" si="17"/>
        <v>33.260000000000005</v>
      </c>
    </row>
    <row r="10" spans="1:42" ht="16.5" customHeight="1">
      <c r="A10" s="6">
        <v>45911</v>
      </c>
      <c r="B10" s="7">
        <v>5</v>
      </c>
      <c r="C10" s="8">
        <v>0.27222222222222225</v>
      </c>
      <c r="D10" s="215">
        <f t="shared" si="11"/>
        <v>1.4138888888888888</v>
      </c>
      <c r="E10" s="9">
        <v>16.079999999999998</v>
      </c>
      <c r="F10" s="9">
        <v>10.1</v>
      </c>
      <c r="G10" s="9">
        <v>14.9</v>
      </c>
      <c r="H10" s="9">
        <v>17.100000000000001</v>
      </c>
      <c r="I10" s="16">
        <v>292.16666666666669</v>
      </c>
      <c r="J10" s="10">
        <f t="shared" si="0"/>
        <v>14.55</v>
      </c>
      <c r="K10" s="10">
        <f t="shared" si="1"/>
        <v>21.47</v>
      </c>
      <c r="L10" s="10">
        <f t="shared" si="2"/>
        <v>24.64</v>
      </c>
      <c r="M10" s="11">
        <v>5</v>
      </c>
      <c r="N10" s="18">
        <v>5.2880273660206058E-4</v>
      </c>
      <c r="O10" s="16">
        <v>292.16666666666669</v>
      </c>
      <c r="P10" s="12">
        <f t="shared" si="3"/>
        <v>2.4000000000000001E-4</v>
      </c>
      <c r="Q10" s="214">
        <f t="shared" ref="Q10:S10" si="26">IFERROR(J10-$P10,0)</f>
        <v>14.549760000000001</v>
      </c>
      <c r="R10" s="214">
        <f t="shared" si="26"/>
        <v>21.469759999999997</v>
      </c>
      <c r="S10" s="214">
        <f t="shared" si="26"/>
        <v>24.639759999999999</v>
      </c>
      <c r="T10" s="53">
        <f t="shared" ref="T10:V10" si="27">T9+Q10</f>
        <v>34.198560000000001</v>
      </c>
      <c r="U10" s="53">
        <f t="shared" si="27"/>
        <v>50.448560000000001</v>
      </c>
      <c r="V10" s="53">
        <f t="shared" si="27"/>
        <v>57.898560000000003</v>
      </c>
      <c r="W10" s="13">
        <f t="shared" ref="W10:Y10" si="28">IFERROR(ROUND(Q10/J10*100,2),0)</f>
        <v>100</v>
      </c>
      <c r="X10" s="13">
        <f t="shared" si="28"/>
        <v>100</v>
      </c>
      <c r="Y10" s="13">
        <f t="shared" si="28"/>
        <v>100</v>
      </c>
      <c r="Z10" s="11" t="s">
        <v>18</v>
      </c>
      <c r="AA10" s="9" t="s">
        <v>18</v>
      </c>
      <c r="AB10" s="96" t="s">
        <v>18</v>
      </c>
      <c r="AC10" s="56" t="s">
        <v>18</v>
      </c>
      <c r="AD10" s="56">
        <f t="shared" ref="AD10:AF10" si="29">IFERROR(ROUND($AC10/Q10*100,2),0)</f>
        <v>0</v>
      </c>
      <c r="AE10" s="56">
        <f t="shared" si="29"/>
        <v>0</v>
      </c>
      <c r="AF10" s="14">
        <f t="shared" si="29"/>
        <v>0</v>
      </c>
      <c r="AK10" s="123">
        <v>10</v>
      </c>
      <c r="AL10" s="10">
        <f t="shared" si="9"/>
        <v>14.41</v>
      </c>
      <c r="AM10" s="123">
        <f t="shared" si="16"/>
        <v>33.86</v>
      </c>
      <c r="AN10" s="123">
        <v>17.100000000000001</v>
      </c>
      <c r="AO10" s="10">
        <f t="shared" si="10"/>
        <v>24.64</v>
      </c>
      <c r="AP10" s="123">
        <f t="shared" si="17"/>
        <v>57.900000000000006</v>
      </c>
    </row>
    <row r="11" spans="1:42" ht="16.5" customHeight="1">
      <c r="A11" s="6">
        <v>45912</v>
      </c>
      <c r="B11" s="7">
        <v>6</v>
      </c>
      <c r="C11" s="8">
        <v>0.22152777777777782</v>
      </c>
      <c r="D11" s="215">
        <f t="shared" si="11"/>
        <v>1.6354166666666665</v>
      </c>
      <c r="E11" s="9">
        <v>26.75</v>
      </c>
      <c r="F11" s="9">
        <v>10.1</v>
      </c>
      <c r="G11" s="9">
        <v>14.9</v>
      </c>
      <c r="H11" s="9">
        <v>17.100000000000001</v>
      </c>
      <c r="I11" s="16">
        <v>44.833333333333336</v>
      </c>
      <c r="J11" s="10">
        <f t="shared" si="0"/>
        <v>3.71</v>
      </c>
      <c r="K11" s="10">
        <f t="shared" si="1"/>
        <v>5.48</v>
      </c>
      <c r="L11" s="10">
        <f t="shared" si="2"/>
        <v>6.29</v>
      </c>
      <c r="M11" s="11">
        <v>15</v>
      </c>
      <c r="N11" s="19">
        <v>4.0222222222222241E-5</v>
      </c>
      <c r="O11" s="16">
        <v>44.833333333333336</v>
      </c>
      <c r="P11" s="12">
        <f t="shared" si="3"/>
        <v>1.0000000000000001E-5</v>
      </c>
      <c r="Q11" s="214">
        <f t="shared" ref="Q11:S11" si="30">IFERROR(J11-$P11,0)</f>
        <v>3.7099899999999999</v>
      </c>
      <c r="R11" s="214">
        <f t="shared" si="30"/>
        <v>5.4799900000000008</v>
      </c>
      <c r="S11" s="214">
        <f t="shared" si="30"/>
        <v>6.2899900000000004</v>
      </c>
      <c r="T11" s="53">
        <f t="shared" ref="T11:V11" si="31">T10+Q11</f>
        <v>37.908549999999998</v>
      </c>
      <c r="U11" s="53">
        <f t="shared" si="31"/>
        <v>55.928550000000001</v>
      </c>
      <c r="V11" s="53">
        <f t="shared" si="31"/>
        <v>64.188550000000006</v>
      </c>
      <c r="W11" s="13">
        <f t="shared" ref="W11:Y11" si="32">IFERROR(ROUND(Q11/J11*100,2),0)</f>
        <v>100</v>
      </c>
      <c r="X11" s="13">
        <f t="shared" si="32"/>
        <v>100</v>
      </c>
      <c r="Y11" s="13">
        <f t="shared" si="32"/>
        <v>100</v>
      </c>
      <c r="Z11" s="11">
        <v>1.08</v>
      </c>
      <c r="AA11" s="9">
        <v>53.88</v>
      </c>
      <c r="AB11" s="57">
        <v>75.833333333333329</v>
      </c>
      <c r="AC11" s="56">
        <f t="shared" ref="AC11:AC35" si="33">ROUND(Z11*AA11*1.84*(AB11/60)*0.01,2)</f>
        <v>1.35</v>
      </c>
      <c r="AD11" s="56">
        <f t="shared" ref="AD11:AF11" si="34">IFERROR(ROUND($AC11/Q11*100,2),0)</f>
        <v>36.39</v>
      </c>
      <c r="AE11" s="56">
        <f t="shared" si="34"/>
        <v>24.64</v>
      </c>
      <c r="AF11" s="14">
        <f t="shared" si="34"/>
        <v>21.46</v>
      </c>
      <c r="AK11" s="123">
        <v>10</v>
      </c>
      <c r="AL11" s="10">
        <f t="shared" si="9"/>
        <v>3.68</v>
      </c>
      <c r="AM11" s="123">
        <f t="shared" si="16"/>
        <v>37.54</v>
      </c>
      <c r="AN11" s="123">
        <v>17.100000000000001</v>
      </c>
      <c r="AO11" s="10">
        <f t="shared" si="10"/>
        <v>6.29</v>
      </c>
      <c r="AP11" s="123">
        <f t="shared" si="17"/>
        <v>64.190000000000012</v>
      </c>
    </row>
    <row r="12" spans="1:42" ht="16.5" customHeight="1">
      <c r="A12" s="6">
        <v>45915</v>
      </c>
      <c r="B12" s="7">
        <v>7</v>
      </c>
      <c r="C12" s="8">
        <v>0.29652777777777778</v>
      </c>
      <c r="D12" s="215">
        <f t="shared" si="11"/>
        <v>1.9319444444444442</v>
      </c>
      <c r="E12" s="9" t="s">
        <v>18</v>
      </c>
      <c r="F12" s="9">
        <v>10.1</v>
      </c>
      <c r="G12" s="9">
        <v>14.9</v>
      </c>
      <c r="H12" s="9">
        <v>17.100000000000001</v>
      </c>
      <c r="I12" s="9" t="s">
        <v>18</v>
      </c>
      <c r="J12" s="10">
        <f t="shared" si="0"/>
        <v>0</v>
      </c>
      <c r="K12" s="10">
        <f t="shared" si="1"/>
        <v>0</v>
      </c>
      <c r="L12" s="10">
        <f t="shared" si="2"/>
        <v>0</v>
      </c>
      <c r="M12" s="11" t="s">
        <v>18</v>
      </c>
      <c r="N12" s="9" t="s">
        <v>18</v>
      </c>
      <c r="O12" s="9" t="s">
        <v>18</v>
      </c>
      <c r="P12" s="12" t="s">
        <v>18</v>
      </c>
      <c r="Q12" s="214">
        <f t="shared" ref="Q12:S12" si="35">IFERROR(J12-$P12,0)</f>
        <v>0</v>
      </c>
      <c r="R12" s="214">
        <f t="shared" si="35"/>
        <v>0</v>
      </c>
      <c r="S12" s="214">
        <f t="shared" si="35"/>
        <v>0</v>
      </c>
      <c r="T12" s="53">
        <f t="shared" ref="T12:V12" si="36">T11+Q12</f>
        <v>37.908549999999998</v>
      </c>
      <c r="U12" s="53">
        <f t="shared" si="36"/>
        <v>55.928550000000001</v>
      </c>
      <c r="V12" s="53">
        <f t="shared" si="36"/>
        <v>64.188550000000006</v>
      </c>
      <c r="W12" s="13" t="s">
        <v>18</v>
      </c>
      <c r="X12" s="13" t="s">
        <v>18</v>
      </c>
      <c r="Y12" s="13" t="s">
        <v>18</v>
      </c>
      <c r="Z12" s="11">
        <v>1.34</v>
      </c>
      <c r="AA12" s="9">
        <v>53.88</v>
      </c>
      <c r="AB12" s="57">
        <v>60.833333333333336</v>
      </c>
      <c r="AC12" s="56">
        <f t="shared" si="33"/>
        <v>1.35</v>
      </c>
      <c r="AD12" s="56">
        <f t="shared" ref="AD12:AF12" si="37">IFERROR(ROUND($AC12/Q12*100,2),0)</f>
        <v>0</v>
      </c>
      <c r="AE12" s="56">
        <f t="shared" si="37"/>
        <v>0</v>
      </c>
      <c r="AF12" s="14">
        <f t="shared" si="37"/>
        <v>0</v>
      </c>
      <c r="AH12" s="15" t="s">
        <v>131</v>
      </c>
      <c r="AK12" s="123">
        <v>10</v>
      </c>
      <c r="AL12" s="10">
        <f t="shared" si="9"/>
        <v>0</v>
      </c>
      <c r="AM12" s="123">
        <f t="shared" si="16"/>
        <v>37.54</v>
      </c>
      <c r="AN12" s="123">
        <v>17.100000000000001</v>
      </c>
      <c r="AO12" s="10" t="str">
        <f t="shared" si="10"/>
        <v>0</v>
      </c>
      <c r="AP12" s="123">
        <f t="shared" si="17"/>
        <v>64.190000000000012</v>
      </c>
    </row>
    <row r="13" spans="1:42" ht="16.5" customHeight="1">
      <c r="A13" s="6">
        <v>45916</v>
      </c>
      <c r="B13" s="7">
        <v>8</v>
      </c>
      <c r="C13" s="8">
        <v>0.27222222222222225</v>
      </c>
      <c r="D13" s="215">
        <f t="shared" si="11"/>
        <v>2.2041666666666666</v>
      </c>
      <c r="E13" s="16">
        <v>25.37902439024381</v>
      </c>
      <c r="F13" s="9">
        <v>10.1</v>
      </c>
      <c r="G13" s="9">
        <v>14.9</v>
      </c>
      <c r="H13" s="9">
        <v>17.100000000000001</v>
      </c>
      <c r="I13" s="16">
        <v>68.166666666666671</v>
      </c>
      <c r="J13" s="10">
        <f t="shared" si="0"/>
        <v>5.36</v>
      </c>
      <c r="K13" s="10">
        <f t="shared" si="1"/>
        <v>7.9</v>
      </c>
      <c r="L13" s="10">
        <f t="shared" si="2"/>
        <v>9.07</v>
      </c>
      <c r="M13" s="20">
        <v>10.487804878048781</v>
      </c>
      <c r="N13" s="18">
        <v>6.9787804878048527E-4</v>
      </c>
      <c r="O13" s="16">
        <v>68.166666666666671</v>
      </c>
      <c r="P13" s="12">
        <f t="shared" ref="P13:P21" si="38">ROUND(M13*N13*1.84*(O13/60)*0.01,5)</f>
        <v>1.4999999999999999E-4</v>
      </c>
      <c r="Q13" s="214">
        <f t="shared" ref="Q13:S13" si="39">IFERROR(J13-$P13,0)</f>
        <v>5.3598500000000007</v>
      </c>
      <c r="R13" s="214">
        <f t="shared" si="39"/>
        <v>7.8998500000000007</v>
      </c>
      <c r="S13" s="214">
        <f t="shared" si="39"/>
        <v>9.0698500000000006</v>
      </c>
      <c r="T13" s="53">
        <f t="shared" ref="T13:V13" si="40">T12+Q13</f>
        <v>43.2684</v>
      </c>
      <c r="U13" s="53">
        <f t="shared" si="40"/>
        <v>63.828400000000002</v>
      </c>
      <c r="V13" s="53">
        <f t="shared" si="40"/>
        <v>73.258400000000009</v>
      </c>
      <c r="W13" s="13">
        <f t="shared" ref="W13:Y13" si="41">IFERROR(ROUND(Q13/J13*100,2),0)</f>
        <v>100</v>
      </c>
      <c r="X13" s="13">
        <f t="shared" si="41"/>
        <v>100</v>
      </c>
      <c r="Y13" s="13">
        <f t="shared" si="41"/>
        <v>100</v>
      </c>
      <c r="Z13" s="20">
        <v>1.3312568306010899</v>
      </c>
      <c r="AA13" s="9">
        <v>53.88</v>
      </c>
      <c r="AB13" s="57">
        <v>60.833333333333336</v>
      </c>
      <c r="AC13" s="56">
        <f t="shared" si="33"/>
        <v>1.34</v>
      </c>
      <c r="AD13" s="56">
        <f t="shared" ref="AD13:AF13" si="42">IFERROR(ROUND($AC13/Q13*100,2),0)</f>
        <v>25</v>
      </c>
      <c r="AE13" s="56">
        <f t="shared" si="42"/>
        <v>16.96</v>
      </c>
      <c r="AF13" s="14">
        <f t="shared" si="42"/>
        <v>14.77</v>
      </c>
      <c r="AK13" s="123">
        <v>10</v>
      </c>
      <c r="AL13" s="10">
        <f t="shared" si="9"/>
        <v>5.31</v>
      </c>
      <c r="AM13" s="123">
        <f t="shared" si="16"/>
        <v>42.85</v>
      </c>
      <c r="AN13" s="123">
        <v>17.100000000000001</v>
      </c>
      <c r="AO13" s="10">
        <f t="shared" si="10"/>
        <v>9.07</v>
      </c>
      <c r="AP13" s="123">
        <f t="shared" si="17"/>
        <v>73.260000000000019</v>
      </c>
    </row>
    <row r="14" spans="1:42" ht="16.5" customHeight="1">
      <c r="A14" s="6">
        <v>45922</v>
      </c>
      <c r="B14" s="7">
        <v>9</v>
      </c>
      <c r="C14" s="8">
        <v>0.24791666666666662</v>
      </c>
      <c r="D14" s="215">
        <f t="shared" si="11"/>
        <v>2.4520833333333334</v>
      </c>
      <c r="E14" s="16">
        <v>18.865611814345996</v>
      </c>
      <c r="F14" s="9">
        <v>10.1</v>
      </c>
      <c r="G14" s="9">
        <v>14.9</v>
      </c>
      <c r="H14" s="9">
        <v>17.100000000000001</v>
      </c>
      <c r="I14" s="16">
        <v>78.833333333333329</v>
      </c>
      <c r="J14" s="10">
        <f t="shared" si="0"/>
        <v>4.6100000000000003</v>
      </c>
      <c r="K14" s="10">
        <f t="shared" si="1"/>
        <v>6.8</v>
      </c>
      <c r="L14" s="10">
        <f t="shared" si="2"/>
        <v>7.8</v>
      </c>
      <c r="M14" s="20">
        <v>12.860759493670885</v>
      </c>
      <c r="N14" s="18">
        <v>7.4373417721518992E-4</v>
      </c>
      <c r="O14" s="16">
        <v>78.833333333333329</v>
      </c>
      <c r="P14" s="12">
        <f t="shared" si="38"/>
        <v>2.3000000000000001E-4</v>
      </c>
      <c r="Q14" s="214">
        <f t="shared" ref="Q14:S14" si="43">IFERROR(J14-$P14,0)</f>
        <v>4.6097700000000001</v>
      </c>
      <c r="R14" s="214">
        <f t="shared" si="43"/>
        <v>6.7997699999999996</v>
      </c>
      <c r="S14" s="214">
        <f t="shared" si="43"/>
        <v>7.7997699999999996</v>
      </c>
      <c r="T14" s="53">
        <f t="shared" ref="T14:V14" si="44">T13+Q14</f>
        <v>47.878169999999997</v>
      </c>
      <c r="U14" s="53">
        <f t="shared" si="44"/>
        <v>70.628169999999997</v>
      </c>
      <c r="V14" s="53">
        <f t="shared" si="44"/>
        <v>81.058170000000004</v>
      </c>
      <c r="W14" s="13">
        <f t="shared" ref="W14:Y14" si="45">IFERROR(ROUND(Q14/J14*100,2),0)</f>
        <v>100</v>
      </c>
      <c r="X14" s="13">
        <f t="shared" si="45"/>
        <v>100</v>
      </c>
      <c r="Y14" s="13">
        <f t="shared" si="45"/>
        <v>100</v>
      </c>
      <c r="Z14" s="20">
        <v>0.98292682926829122</v>
      </c>
      <c r="AA14" s="9">
        <v>53.88</v>
      </c>
      <c r="AB14" s="57">
        <v>40.8333333333333</v>
      </c>
      <c r="AC14" s="56">
        <f t="shared" si="33"/>
        <v>0.66</v>
      </c>
      <c r="AD14" s="56">
        <f t="shared" ref="AD14:AF14" si="46">IFERROR(ROUND($AC14/Q14*100,2),0)</f>
        <v>14.32</v>
      </c>
      <c r="AE14" s="56">
        <f t="shared" si="46"/>
        <v>9.7100000000000009</v>
      </c>
      <c r="AF14" s="14">
        <f t="shared" si="46"/>
        <v>8.4600000000000009</v>
      </c>
      <c r="AK14" s="123">
        <v>10</v>
      </c>
      <c r="AL14" s="10">
        <f t="shared" si="9"/>
        <v>4.5599999999999996</v>
      </c>
      <c r="AM14" s="123">
        <f t="shared" si="16"/>
        <v>47.410000000000004</v>
      </c>
      <c r="AN14" s="123">
        <v>17.100000000000001</v>
      </c>
      <c r="AO14" s="10">
        <f t="shared" si="10"/>
        <v>7.8</v>
      </c>
      <c r="AP14" s="123">
        <f t="shared" si="17"/>
        <v>81.060000000000016</v>
      </c>
    </row>
    <row r="15" spans="1:42" ht="16.5" customHeight="1">
      <c r="A15" s="6">
        <v>45924</v>
      </c>
      <c r="B15" s="7">
        <v>10</v>
      </c>
      <c r="C15" s="8">
        <v>0.2541666666666666</v>
      </c>
      <c r="D15" s="215">
        <f t="shared" si="11"/>
        <v>2.7062499999999998</v>
      </c>
      <c r="E15" s="16">
        <v>19.039613526569994</v>
      </c>
      <c r="F15" s="9">
        <v>10.1</v>
      </c>
      <c r="G15" s="9">
        <v>14.9</v>
      </c>
      <c r="H15" s="9">
        <v>17.100000000000001</v>
      </c>
      <c r="I15" s="16">
        <v>68.833333333333329</v>
      </c>
      <c r="J15" s="10">
        <f t="shared" si="0"/>
        <v>4.0599999999999996</v>
      </c>
      <c r="K15" s="10">
        <f t="shared" si="1"/>
        <v>5.99</v>
      </c>
      <c r="L15" s="10">
        <f t="shared" si="2"/>
        <v>6.87</v>
      </c>
      <c r="M15" s="20">
        <v>8.169806763285056</v>
      </c>
      <c r="N15" s="21">
        <v>2.7598067632850433E-3</v>
      </c>
      <c r="O15" s="16">
        <v>68.833333333333329</v>
      </c>
      <c r="P15" s="12">
        <f t="shared" si="38"/>
        <v>4.8000000000000001E-4</v>
      </c>
      <c r="Q15" s="214">
        <f t="shared" ref="Q15:S15" si="47">IFERROR(J15-$P15,0)</f>
        <v>4.05952</v>
      </c>
      <c r="R15" s="214">
        <f t="shared" si="47"/>
        <v>5.9895200000000006</v>
      </c>
      <c r="S15" s="214">
        <f t="shared" si="47"/>
        <v>6.8695200000000005</v>
      </c>
      <c r="T15" s="53">
        <f t="shared" ref="T15:V15" si="48">T14+Q15</f>
        <v>51.937689999999996</v>
      </c>
      <c r="U15" s="53">
        <f t="shared" si="48"/>
        <v>76.617689999999996</v>
      </c>
      <c r="V15" s="53">
        <f t="shared" si="48"/>
        <v>87.927689999999998</v>
      </c>
      <c r="W15" s="13">
        <f t="shared" ref="W15:Y15" si="49">IFERROR(ROUND(Q15/J15*100,2),0)</f>
        <v>99.99</v>
      </c>
      <c r="X15" s="13">
        <f t="shared" si="49"/>
        <v>99.99</v>
      </c>
      <c r="Y15" s="13">
        <f t="shared" si="49"/>
        <v>99.99</v>
      </c>
      <c r="Z15" s="20">
        <v>0.35327868852459104</v>
      </c>
      <c r="AA15" s="9">
        <v>53.88</v>
      </c>
      <c r="AB15" s="57">
        <v>60.833333333333336</v>
      </c>
      <c r="AC15" s="56">
        <f t="shared" si="33"/>
        <v>0.36</v>
      </c>
      <c r="AD15" s="56">
        <f t="shared" ref="AD15:AF15" si="50">IFERROR(ROUND($AC15/Q15*100,2),0)</f>
        <v>8.8699999999999992</v>
      </c>
      <c r="AE15" s="56">
        <f t="shared" si="50"/>
        <v>6.01</v>
      </c>
      <c r="AF15" s="14">
        <f t="shared" si="50"/>
        <v>5.24</v>
      </c>
      <c r="AK15" s="123">
        <v>10</v>
      </c>
      <c r="AL15" s="10">
        <f t="shared" si="9"/>
        <v>4.0199999999999996</v>
      </c>
      <c r="AM15" s="123">
        <f t="shared" si="16"/>
        <v>51.430000000000007</v>
      </c>
      <c r="AN15" s="123">
        <v>17.100000000000001</v>
      </c>
      <c r="AO15" s="10">
        <f t="shared" si="10"/>
        <v>6.87</v>
      </c>
      <c r="AP15" s="123">
        <f t="shared" si="17"/>
        <v>87.930000000000021</v>
      </c>
    </row>
    <row r="16" spans="1:42" ht="16.5" customHeight="1">
      <c r="A16" s="6">
        <v>45925</v>
      </c>
      <c r="B16" s="7">
        <v>11</v>
      </c>
      <c r="C16" s="8">
        <v>0.22361111111111115</v>
      </c>
      <c r="D16" s="215">
        <f t="shared" si="11"/>
        <v>2.9298611111111108</v>
      </c>
      <c r="E16" s="16">
        <v>17.254263565891488</v>
      </c>
      <c r="F16" s="9">
        <v>10.1</v>
      </c>
      <c r="G16" s="9">
        <v>14.9</v>
      </c>
      <c r="H16" s="9">
        <v>17.100000000000001</v>
      </c>
      <c r="I16" s="16">
        <v>64.333333333333329</v>
      </c>
      <c r="J16" s="10">
        <f t="shared" si="0"/>
        <v>3.44</v>
      </c>
      <c r="K16" s="10">
        <f t="shared" si="1"/>
        <v>5.07</v>
      </c>
      <c r="L16" s="10">
        <f t="shared" si="2"/>
        <v>5.82</v>
      </c>
      <c r="M16" s="20">
        <v>15.471317829457389</v>
      </c>
      <c r="N16" s="18">
        <v>8.8038759689922552E-4</v>
      </c>
      <c r="O16" s="16">
        <v>64.333333333333329</v>
      </c>
      <c r="P16" s="12">
        <f t="shared" si="38"/>
        <v>2.7E-4</v>
      </c>
      <c r="Q16" s="214">
        <f t="shared" ref="Q16:S16" si="51">IFERROR(J16-$P16,0)</f>
        <v>3.43973</v>
      </c>
      <c r="R16" s="214">
        <f t="shared" si="51"/>
        <v>5.0697299999999998</v>
      </c>
      <c r="S16" s="214">
        <f t="shared" si="51"/>
        <v>5.8197299999999998</v>
      </c>
      <c r="T16" s="53">
        <f t="shared" ref="T16:V16" si="52">T15+Q16</f>
        <v>55.377419999999994</v>
      </c>
      <c r="U16" s="53">
        <f t="shared" si="52"/>
        <v>81.687420000000003</v>
      </c>
      <c r="V16" s="53">
        <f t="shared" si="52"/>
        <v>93.747420000000005</v>
      </c>
      <c r="W16" s="13">
        <f t="shared" ref="W16:Y16" si="53">IFERROR(ROUND(Q16/J16*100,2),0)</f>
        <v>99.99</v>
      </c>
      <c r="X16" s="13">
        <f t="shared" si="53"/>
        <v>99.99</v>
      </c>
      <c r="Y16" s="13">
        <f t="shared" si="53"/>
        <v>100</v>
      </c>
      <c r="Z16" s="20">
        <v>0.61743169398907038</v>
      </c>
      <c r="AA16" s="9">
        <v>53.88</v>
      </c>
      <c r="AB16" s="57">
        <v>60.833333333333336</v>
      </c>
      <c r="AC16" s="56">
        <f t="shared" si="33"/>
        <v>0.62</v>
      </c>
      <c r="AD16" s="56">
        <f t="shared" ref="AD16:AF16" si="54">IFERROR(ROUND($AC16/Q16*100,2),0)</f>
        <v>18.02</v>
      </c>
      <c r="AE16" s="56">
        <f t="shared" si="54"/>
        <v>12.23</v>
      </c>
      <c r="AF16" s="14">
        <f t="shared" si="54"/>
        <v>10.65</v>
      </c>
      <c r="AK16" s="123">
        <v>10</v>
      </c>
      <c r="AL16" s="10">
        <f t="shared" si="9"/>
        <v>3.4</v>
      </c>
      <c r="AM16" s="123">
        <f t="shared" si="16"/>
        <v>54.830000000000005</v>
      </c>
      <c r="AN16" s="123">
        <v>17.100000000000001</v>
      </c>
      <c r="AO16" s="10">
        <f t="shared" si="10"/>
        <v>5.82</v>
      </c>
      <c r="AP16" s="123">
        <f t="shared" si="17"/>
        <v>93.750000000000028</v>
      </c>
    </row>
    <row r="17" spans="1:42" ht="16.5" customHeight="1">
      <c r="A17" s="6">
        <v>45926</v>
      </c>
      <c r="B17" s="7">
        <v>12</v>
      </c>
      <c r="C17" s="8">
        <v>0.21527777777777785</v>
      </c>
      <c r="D17" s="215">
        <f t="shared" si="11"/>
        <v>3.1451388888888885</v>
      </c>
      <c r="E17" s="16">
        <v>18.801327433628288</v>
      </c>
      <c r="F17" s="9">
        <v>10.1</v>
      </c>
      <c r="G17" s="9">
        <v>14.9</v>
      </c>
      <c r="H17" s="9">
        <v>17.100000000000001</v>
      </c>
      <c r="I17" s="16">
        <v>75.166666666666671</v>
      </c>
      <c r="J17" s="10">
        <f t="shared" si="0"/>
        <v>4.38</v>
      </c>
      <c r="K17" s="10">
        <f t="shared" si="1"/>
        <v>6.46</v>
      </c>
      <c r="L17" s="10">
        <f t="shared" si="2"/>
        <v>7.41</v>
      </c>
      <c r="M17" s="20">
        <v>13.846902654867355</v>
      </c>
      <c r="N17" s="21">
        <v>1.2424336283185845E-3</v>
      </c>
      <c r="O17" s="16">
        <v>75.166666666666671</v>
      </c>
      <c r="P17" s="12">
        <f t="shared" si="38"/>
        <v>4.0000000000000002E-4</v>
      </c>
      <c r="Q17" s="214">
        <f t="shared" ref="Q17:S17" si="55">IFERROR(J17-$P17,0)</f>
        <v>4.3795999999999999</v>
      </c>
      <c r="R17" s="214">
        <f t="shared" si="55"/>
        <v>6.4596</v>
      </c>
      <c r="S17" s="214">
        <f t="shared" si="55"/>
        <v>7.4096000000000002</v>
      </c>
      <c r="T17" s="53">
        <f t="shared" ref="T17:V17" si="56">T16+Q17</f>
        <v>59.757019999999997</v>
      </c>
      <c r="U17" s="53">
        <f t="shared" si="56"/>
        <v>88.147019999999998</v>
      </c>
      <c r="V17" s="53">
        <f t="shared" si="56"/>
        <v>101.15702</v>
      </c>
      <c r="W17" s="13">
        <f t="shared" ref="W17:Y17" si="57">IFERROR(ROUND(Q17/J17*100,2),0)</f>
        <v>99.99</v>
      </c>
      <c r="X17" s="13">
        <f t="shared" si="57"/>
        <v>99.99</v>
      </c>
      <c r="Y17" s="13">
        <f t="shared" si="57"/>
        <v>99.99</v>
      </c>
      <c r="Z17" s="20">
        <v>0.71112021857923446</v>
      </c>
      <c r="AA17" s="9">
        <v>53.88</v>
      </c>
      <c r="AB17" s="57">
        <v>60.833333333333336</v>
      </c>
      <c r="AC17" s="56">
        <f t="shared" si="33"/>
        <v>0.71</v>
      </c>
      <c r="AD17" s="56">
        <f t="shared" ref="AD17:AF17" si="58">IFERROR(ROUND($AC17/Q17*100,2),0)</f>
        <v>16.21</v>
      </c>
      <c r="AE17" s="56">
        <f t="shared" si="58"/>
        <v>10.99</v>
      </c>
      <c r="AF17" s="14">
        <f t="shared" si="58"/>
        <v>9.58</v>
      </c>
      <c r="AK17" s="123">
        <v>10</v>
      </c>
      <c r="AL17" s="10">
        <f t="shared" si="9"/>
        <v>4.33</v>
      </c>
      <c r="AM17" s="123">
        <f t="shared" si="16"/>
        <v>59.160000000000004</v>
      </c>
      <c r="AN17" s="123">
        <v>17.100000000000001</v>
      </c>
      <c r="AO17" s="10">
        <f t="shared" si="10"/>
        <v>7.41</v>
      </c>
      <c r="AP17" s="123">
        <f t="shared" si="17"/>
        <v>101.16000000000003</v>
      </c>
    </row>
    <row r="18" spans="1:42" ht="16.5" customHeight="1">
      <c r="A18" s="6">
        <v>45929</v>
      </c>
      <c r="B18" s="7">
        <v>13</v>
      </c>
      <c r="C18" s="8">
        <v>0.25277777777777777</v>
      </c>
      <c r="D18" s="215">
        <f t="shared" si="11"/>
        <v>3.3979166666666663</v>
      </c>
      <c r="E18" s="16">
        <v>16.914675767918091</v>
      </c>
      <c r="F18" s="9">
        <v>10.1</v>
      </c>
      <c r="G18" s="9">
        <v>14.9</v>
      </c>
      <c r="H18" s="9">
        <v>17.100000000000001</v>
      </c>
      <c r="I18" s="9">
        <v>97.5</v>
      </c>
      <c r="J18" s="10">
        <f t="shared" si="0"/>
        <v>5.1100000000000003</v>
      </c>
      <c r="K18" s="10">
        <f t="shared" si="1"/>
        <v>7.54</v>
      </c>
      <c r="L18" s="10">
        <f t="shared" si="2"/>
        <v>8.65</v>
      </c>
      <c r="M18" s="20">
        <v>8.1744027303754816</v>
      </c>
      <c r="N18" s="18">
        <v>4.7220136518771601E-4</v>
      </c>
      <c r="O18" s="9">
        <v>97.5</v>
      </c>
      <c r="P18" s="12">
        <f t="shared" si="38"/>
        <v>1.2E-4</v>
      </c>
      <c r="Q18" s="214">
        <f t="shared" ref="Q18:S18" si="59">IFERROR(J18-$P18,0)</f>
        <v>5.1098800000000004</v>
      </c>
      <c r="R18" s="214">
        <f t="shared" si="59"/>
        <v>7.5398800000000001</v>
      </c>
      <c r="S18" s="214">
        <f t="shared" si="59"/>
        <v>8.6498799999999996</v>
      </c>
      <c r="T18" s="53">
        <f t="shared" ref="T18:V18" si="60">T17+Q18</f>
        <v>64.866900000000001</v>
      </c>
      <c r="U18" s="53">
        <f t="shared" si="60"/>
        <v>95.686899999999994</v>
      </c>
      <c r="V18" s="53">
        <f t="shared" si="60"/>
        <v>109.8069</v>
      </c>
      <c r="W18" s="13">
        <f t="shared" ref="W18:Y18" si="61">IFERROR(ROUND(Q18/J18*100,2),0)</f>
        <v>100</v>
      </c>
      <c r="X18" s="13">
        <f t="shared" si="61"/>
        <v>100</v>
      </c>
      <c r="Y18" s="13">
        <f t="shared" si="61"/>
        <v>100</v>
      </c>
      <c r="Z18" s="20">
        <v>0.64997267759562849</v>
      </c>
      <c r="AA18" s="9">
        <v>53.88</v>
      </c>
      <c r="AB18" s="57">
        <v>60.833333333333336</v>
      </c>
      <c r="AC18" s="56">
        <f t="shared" si="33"/>
        <v>0.65</v>
      </c>
      <c r="AD18" s="56">
        <f t="shared" ref="AD18:AF18" si="62">IFERROR(ROUND($AC18/Q18*100,2),0)</f>
        <v>12.72</v>
      </c>
      <c r="AE18" s="56">
        <f t="shared" si="62"/>
        <v>8.6199999999999992</v>
      </c>
      <c r="AF18" s="14">
        <f t="shared" si="62"/>
        <v>7.51</v>
      </c>
      <c r="AK18" s="123">
        <v>10</v>
      </c>
      <c r="AL18" s="10">
        <f t="shared" si="9"/>
        <v>5.0599999999999996</v>
      </c>
      <c r="AM18" s="123">
        <f t="shared" si="16"/>
        <v>64.22</v>
      </c>
      <c r="AN18" s="123">
        <v>17.100000000000001</v>
      </c>
      <c r="AO18" s="10">
        <f t="shared" si="10"/>
        <v>8.65</v>
      </c>
      <c r="AP18" s="123">
        <f t="shared" si="17"/>
        <v>109.81000000000003</v>
      </c>
    </row>
    <row r="19" spans="1:42" ht="16.5" customHeight="1">
      <c r="A19" s="6">
        <v>45930</v>
      </c>
      <c r="B19" s="7">
        <v>14</v>
      </c>
      <c r="C19" s="8">
        <v>0.2729166666666667</v>
      </c>
      <c r="D19" s="215">
        <f t="shared" si="11"/>
        <v>3.6708333333333329</v>
      </c>
      <c r="E19" s="16">
        <v>16.450639386189213</v>
      </c>
      <c r="F19" s="9">
        <v>10.1</v>
      </c>
      <c r="G19" s="9">
        <v>14.9</v>
      </c>
      <c r="H19" s="9">
        <v>17.100000000000001</v>
      </c>
      <c r="I19" s="9">
        <v>65</v>
      </c>
      <c r="J19" s="10">
        <f t="shared" si="0"/>
        <v>3.31</v>
      </c>
      <c r="K19" s="10">
        <f t="shared" si="1"/>
        <v>4.8899999999999997</v>
      </c>
      <c r="L19" s="10">
        <f t="shared" si="2"/>
        <v>5.61</v>
      </c>
      <c r="M19" s="20">
        <v>11.693094629156009</v>
      </c>
      <c r="N19" s="21">
        <v>1.2670843989769824E-3</v>
      </c>
      <c r="O19" s="9">
        <v>65</v>
      </c>
      <c r="P19" s="12">
        <f t="shared" si="38"/>
        <v>2.9999999999999997E-4</v>
      </c>
      <c r="Q19" s="214">
        <f t="shared" ref="Q19:S19" si="63">IFERROR(J19-$P19,0)</f>
        <v>3.3096999999999999</v>
      </c>
      <c r="R19" s="214">
        <f t="shared" si="63"/>
        <v>4.8896999999999995</v>
      </c>
      <c r="S19" s="214">
        <f t="shared" si="63"/>
        <v>5.6097000000000001</v>
      </c>
      <c r="T19" s="53">
        <f t="shared" ref="T19:V19" si="64">T18+Q19</f>
        <v>68.176600000000008</v>
      </c>
      <c r="U19" s="53">
        <f t="shared" si="64"/>
        <v>100.5766</v>
      </c>
      <c r="V19" s="53">
        <f t="shared" si="64"/>
        <v>115.4166</v>
      </c>
      <c r="W19" s="13">
        <f t="shared" ref="W19:Y19" si="65">IFERROR(ROUND(Q19/J19*100,2),0)</f>
        <v>99.99</v>
      </c>
      <c r="X19" s="13">
        <f t="shared" si="65"/>
        <v>99.99</v>
      </c>
      <c r="Y19" s="13">
        <f t="shared" si="65"/>
        <v>99.99</v>
      </c>
      <c r="Z19" s="20">
        <v>0.63377049180327805</v>
      </c>
      <c r="AA19" s="9">
        <v>53.88</v>
      </c>
      <c r="AB19" s="57">
        <v>60.833333333333336</v>
      </c>
      <c r="AC19" s="56">
        <f t="shared" si="33"/>
        <v>0.64</v>
      </c>
      <c r="AD19" s="56">
        <f t="shared" ref="AD19:AF19" si="66">IFERROR(ROUND($AC19/Q19*100,2),0)</f>
        <v>19.34</v>
      </c>
      <c r="AE19" s="56">
        <f t="shared" si="66"/>
        <v>13.09</v>
      </c>
      <c r="AF19" s="14">
        <f t="shared" si="66"/>
        <v>11.41</v>
      </c>
      <c r="AK19" s="123">
        <v>10</v>
      </c>
      <c r="AL19" s="10">
        <f t="shared" si="9"/>
        <v>3.28</v>
      </c>
      <c r="AM19" s="123">
        <f t="shared" si="16"/>
        <v>67.5</v>
      </c>
      <c r="AN19" s="123">
        <v>17.100000000000001</v>
      </c>
      <c r="AO19" s="10">
        <f t="shared" si="10"/>
        <v>5.61</v>
      </c>
      <c r="AP19" s="123">
        <f t="shared" si="17"/>
        <v>115.42000000000003</v>
      </c>
    </row>
    <row r="20" spans="1:42" ht="16.5" customHeight="1">
      <c r="A20" s="22">
        <v>45931</v>
      </c>
      <c r="B20" s="7">
        <v>15</v>
      </c>
      <c r="C20" s="8">
        <v>0.21944444444444444</v>
      </c>
      <c r="D20" s="215">
        <f t="shared" si="11"/>
        <v>3.8902777777777775</v>
      </c>
      <c r="E20" s="9">
        <v>14.800000000000082</v>
      </c>
      <c r="F20" s="9">
        <v>10.1</v>
      </c>
      <c r="G20" s="9">
        <v>14.9</v>
      </c>
      <c r="H20" s="9">
        <v>17.100000000000001</v>
      </c>
      <c r="I20" s="16">
        <v>49.833333333333336</v>
      </c>
      <c r="J20" s="10">
        <f t="shared" si="0"/>
        <v>2.2799999999999998</v>
      </c>
      <c r="K20" s="10">
        <f t="shared" si="1"/>
        <v>3.37</v>
      </c>
      <c r="L20" s="10">
        <f t="shared" si="2"/>
        <v>3.87</v>
      </c>
      <c r="M20" s="11">
        <v>11.76</v>
      </c>
      <c r="N20" s="21">
        <v>6.126299999999996E-3</v>
      </c>
      <c r="O20" s="16">
        <v>49.833333333333336</v>
      </c>
      <c r="P20" s="12">
        <f t="shared" si="38"/>
        <v>1.1000000000000001E-3</v>
      </c>
      <c r="Q20" s="214">
        <f t="shared" ref="Q20:S20" si="67">IFERROR(J20-$P20,0)</f>
        <v>2.2788999999999997</v>
      </c>
      <c r="R20" s="214">
        <f t="shared" si="67"/>
        <v>3.3689</v>
      </c>
      <c r="S20" s="214">
        <f t="shared" si="67"/>
        <v>3.8689</v>
      </c>
      <c r="T20" s="53">
        <f t="shared" ref="T20:V20" si="68">T19+Q20</f>
        <v>70.455500000000001</v>
      </c>
      <c r="U20" s="53">
        <f t="shared" si="68"/>
        <v>103.9455</v>
      </c>
      <c r="V20" s="53">
        <f t="shared" si="68"/>
        <v>119.2855</v>
      </c>
      <c r="W20" s="13">
        <f t="shared" ref="W20:Y20" si="69">IFERROR(ROUND(Q20/J20*100,2),0)</f>
        <v>99.95</v>
      </c>
      <c r="X20" s="13">
        <f t="shared" si="69"/>
        <v>99.97</v>
      </c>
      <c r="Y20" s="13">
        <f t="shared" si="69"/>
        <v>99.97</v>
      </c>
      <c r="Z20" s="20">
        <v>0.66024590163934371</v>
      </c>
      <c r="AA20" s="9">
        <v>53.88</v>
      </c>
      <c r="AB20" s="57">
        <v>60.833333333333336</v>
      </c>
      <c r="AC20" s="56">
        <f t="shared" si="33"/>
        <v>0.66</v>
      </c>
      <c r="AD20" s="56">
        <f t="shared" ref="AD20:AF20" si="70">IFERROR(ROUND($AC20/Q20*100,2),0)</f>
        <v>28.96</v>
      </c>
      <c r="AE20" s="56">
        <f t="shared" si="70"/>
        <v>19.59</v>
      </c>
      <c r="AF20" s="14">
        <f t="shared" si="70"/>
        <v>17.059999999999999</v>
      </c>
      <c r="AK20" s="123">
        <v>10</v>
      </c>
      <c r="AL20" s="10">
        <f t="shared" si="9"/>
        <v>2.2599999999999998</v>
      </c>
      <c r="AM20" s="123">
        <f t="shared" si="16"/>
        <v>69.760000000000005</v>
      </c>
      <c r="AN20" s="123">
        <v>17.100000000000001</v>
      </c>
      <c r="AO20" s="10">
        <f t="shared" si="10"/>
        <v>3.87</v>
      </c>
      <c r="AP20" s="123">
        <f t="shared" si="17"/>
        <v>119.29000000000003</v>
      </c>
    </row>
    <row r="21" spans="1:42" ht="16.5" customHeight="1">
      <c r="A21" s="22">
        <v>45932</v>
      </c>
      <c r="B21" s="7">
        <v>16</v>
      </c>
      <c r="C21" s="8">
        <v>0.27083333333333326</v>
      </c>
      <c r="D21" s="215">
        <f t="shared" si="11"/>
        <v>4.1611111111111105</v>
      </c>
      <c r="E21" s="16">
        <v>17.334862385321102</v>
      </c>
      <c r="F21" s="9">
        <v>10.1</v>
      </c>
      <c r="G21" s="9">
        <v>14.9</v>
      </c>
      <c r="H21" s="9">
        <v>17.100000000000001</v>
      </c>
      <c r="I21" s="16">
        <v>108.83333333333333</v>
      </c>
      <c r="J21" s="10">
        <f t="shared" si="0"/>
        <v>5.84</v>
      </c>
      <c r="K21" s="10">
        <f t="shared" si="1"/>
        <v>8.6199999999999992</v>
      </c>
      <c r="L21" s="10">
        <f t="shared" si="2"/>
        <v>9.89</v>
      </c>
      <c r="M21" s="20">
        <v>9.4954128440366965</v>
      </c>
      <c r="N21" s="18">
        <v>8.622782874617732E-4</v>
      </c>
      <c r="O21" s="16">
        <v>108.83333333333333</v>
      </c>
      <c r="P21" s="12">
        <f t="shared" si="38"/>
        <v>2.7E-4</v>
      </c>
      <c r="Q21" s="214">
        <f t="shared" ref="Q21:S21" si="71">IFERROR(J21-$P21,0)</f>
        <v>5.8397299999999994</v>
      </c>
      <c r="R21" s="214">
        <f t="shared" si="71"/>
        <v>8.6197299999999988</v>
      </c>
      <c r="S21" s="214">
        <f t="shared" si="71"/>
        <v>9.8897300000000001</v>
      </c>
      <c r="T21" s="53">
        <f t="shared" ref="T21:V21" si="72">T20+Q21</f>
        <v>76.295230000000004</v>
      </c>
      <c r="U21" s="53">
        <f t="shared" si="72"/>
        <v>112.56523</v>
      </c>
      <c r="V21" s="53">
        <f t="shared" si="72"/>
        <v>129.17523</v>
      </c>
      <c r="W21" s="13">
        <f t="shared" ref="W21:Y21" si="73">IFERROR(ROUND(Q21/J21*100,2),0)</f>
        <v>100</v>
      </c>
      <c r="X21" s="13">
        <f t="shared" si="73"/>
        <v>100</v>
      </c>
      <c r="Y21" s="13">
        <f t="shared" si="73"/>
        <v>100</v>
      </c>
      <c r="Z21" s="20">
        <v>0.46010928961748715</v>
      </c>
      <c r="AA21" s="9">
        <v>53.88</v>
      </c>
      <c r="AB21" s="57">
        <v>60.833333333333336</v>
      </c>
      <c r="AC21" s="56">
        <f t="shared" si="33"/>
        <v>0.46</v>
      </c>
      <c r="AD21" s="56">
        <f t="shared" ref="AD21:AF21" si="74">IFERROR(ROUND($AC21/Q21*100,2),0)</f>
        <v>7.88</v>
      </c>
      <c r="AE21" s="56">
        <f t="shared" si="74"/>
        <v>5.34</v>
      </c>
      <c r="AF21" s="14">
        <f t="shared" si="74"/>
        <v>4.6500000000000004</v>
      </c>
      <c r="AK21" s="123">
        <v>10</v>
      </c>
      <c r="AL21" s="10">
        <f t="shared" si="9"/>
        <v>5.79</v>
      </c>
      <c r="AM21" s="123">
        <f t="shared" si="16"/>
        <v>75.550000000000011</v>
      </c>
      <c r="AN21" s="123">
        <v>17.100000000000001</v>
      </c>
      <c r="AO21" s="10">
        <f t="shared" si="10"/>
        <v>9.89</v>
      </c>
      <c r="AP21" s="123">
        <f t="shared" si="17"/>
        <v>129.18000000000004</v>
      </c>
    </row>
    <row r="22" spans="1:42" ht="16.5" customHeight="1">
      <c r="A22" s="22">
        <v>45936</v>
      </c>
      <c r="B22" s="7">
        <v>17</v>
      </c>
      <c r="C22" s="8">
        <v>0.18472222222222223</v>
      </c>
      <c r="D22" s="215">
        <f t="shared" si="11"/>
        <v>4.3458333333333332</v>
      </c>
      <c r="E22" s="9" t="s">
        <v>18</v>
      </c>
      <c r="F22" s="9">
        <v>10.1</v>
      </c>
      <c r="G22" s="9">
        <v>14.9</v>
      </c>
      <c r="H22" s="9">
        <v>17.100000000000001</v>
      </c>
      <c r="I22" s="11" t="s">
        <v>18</v>
      </c>
      <c r="J22" s="10">
        <f t="shared" si="0"/>
        <v>0</v>
      </c>
      <c r="K22" s="10">
        <f t="shared" si="1"/>
        <v>0</v>
      </c>
      <c r="L22" s="10">
        <f t="shared" si="2"/>
        <v>0</v>
      </c>
      <c r="M22" s="11" t="s">
        <v>18</v>
      </c>
      <c r="N22" s="9" t="s">
        <v>18</v>
      </c>
      <c r="O22" s="9" t="s">
        <v>18</v>
      </c>
      <c r="P22" s="12" t="s">
        <v>18</v>
      </c>
      <c r="Q22" s="214">
        <f t="shared" ref="Q22:S22" si="75">IFERROR(J22-$P22,0)</f>
        <v>0</v>
      </c>
      <c r="R22" s="214">
        <f t="shared" si="75"/>
        <v>0</v>
      </c>
      <c r="S22" s="214">
        <f t="shared" si="75"/>
        <v>0</v>
      </c>
      <c r="T22" s="53">
        <f t="shared" ref="T22:V22" si="76">T21+Q22</f>
        <v>76.295230000000004</v>
      </c>
      <c r="U22" s="53">
        <f t="shared" si="76"/>
        <v>112.56523</v>
      </c>
      <c r="V22" s="53">
        <f t="shared" si="76"/>
        <v>129.17523</v>
      </c>
      <c r="W22" s="13" t="s">
        <v>18</v>
      </c>
      <c r="X22" s="13" t="s">
        <v>18</v>
      </c>
      <c r="Y22" s="13" t="s">
        <v>18</v>
      </c>
      <c r="Z22" s="20">
        <v>0.36491935483870847</v>
      </c>
      <c r="AA22" s="9">
        <v>53.88</v>
      </c>
      <c r="AB22" s="57">
        <v>61.833333333333336</v>
      </c>
      <c r="AC22" s="56">
        <f t="shared" si="33"/>
        <v>0.37</v>
      </c>
      <c r="AD22" s="56">
        <f t="shared" ref="AD22:AF22" si="77">IFERROR(ROUND($AC22/Q22*100,2),0)</f>
        <v>0</v>
      </c>
      <c r="AE22" s="56">
        <f t="shared" si="77"/>
        <v>0</v>
      </c>
      <c r="AF22" s="14">
        <f t="shared" si="77"/>
        <v>0</v>
      </c>
      <c r="AK22" s="123">
        <v>10</v>
      </c>
      <c r="AL22" s="10">
        <f t="shared" si="9"/>
        <v>0</v>
      </c>
      <c r="AM22" s="123">
        <f t="shared" si="16"/>
        <v>75.550000000000011</v>
      </c>
      <c r="AN22" s="123">
        <v>17.100000000000001</v>
      </c>
      <c r="AO22" s="10" t="str">
        <f t="shared" si="10"/>
        <v>0</v>
      </c>
      <c r="AP22" s="123">
        <f t="shared" si="17"/>
        <v>129.18000000000004</v>
      </c>
    </row>
    <row r="23" spans="1:42" ht="16.5" customHeight="1">
      <c r="A23" s="22">
        <v>45939</v>
      </c>
      <c r="B23" s="7">
        <v>18</v>
      </c>
      <c r="C23" s="8">
        <v>0.24166666666666664</v>
      </c>
      <c r="D23" s="215">
        <f t="shared" si="11"/>
        <v>4.5874999999999995</v>
      </c>
      <c r="E23" s="16">
        <v>16.920425531914926</v>
      </c>
      <c r="F23" s="9">
        <v>10.1</v>
      </c>
      <c r="G23" s="9">
        <v>14.9</v>
      </c>
      <c r="H23" s="9">
        <v>17.100000000000001</v>
      </c>
      <c r="I23" s="16">
        <v>78.166666666666671</v>
      </c>
      <c r="J23" s="10">
        <f t="shared" si="0"/>
        <v>4.0999999999999996</v>
      </c>
      <c r="K23" s="10">
        <f t="shared" si="1"/>
        <v>6.04</v>
      </c>
      <c r="L23" s="10">
        <f t="shared" si="2"/>
        <v>6.94</v>
      </c>
      <c r="M23" s="11">
        <v>14.800000000000118</v>
      </c>
      <c r="N23" s="21">
        <v>2.0828723404255332E-3</v>
      </c>
      <c r="O23" s="16">
        <v>78.166666666666671</v>
      </c>
      <c r="P23" s="12">
        <f t="shared" ref="P23:P35" si="78">ROUND(M23*N23*1.84*(O23/60)*0.01,5)</f>
        <v>7.3999999999999999E-4</v>
      </c>
      <c r="Q23" s="214">
        <f t="shared" ref="Q23:S23" si="79">IFERROR(J23-$P23,0)</f>
        <v>4.0992599999999992</v>
      </c>
      <c r="R23" s="214">
        <f t="shared" si="79"/>
        <v>6.0392599999999996</v>
      </c>
      <c r="S23" s="214">
        <f t="shared" si="79"/>
        <v>6.93926</v>
      </c>
      <c r="T23" s="53">
        <f t="shared" ref="T23:V23" si="80">T22+Q23</f>
        <v>80.394490000000005</v>
      </c>
      <c r="U23" s="53">
        <f t="shared" si="80"/>
        <v>118.60449</v>
      </c>
      <c r="V23" s="53">
        <f t="shared" si="80"/>
        <v>136.11448999999999</v>
      </c>
      <c r="W23" s="13">
        <f t="shared" ref="W23:Y23" si="81">IFERROR(ROUND(Q23/J23*100,2),0)</f>
        <v>99.98</v>
      </c>
      <c r="X23" s="13">
        <f t="shared" si="81"/>
        <v>99.99</v>
      </c>
      <c r="Y23" s="13">
        <f t="shared" si="81"/>
        <v>99.99</v>
      </c>
      <c r="Z23" s="20">
        <v>0.5818579234972675</v>
      </c>
      <c r="AA23" s="9">
        <v>53.88</v>
      </c>
      <c r="AB23" s="57">
        <v>60.833333333333336</v>
      </c>
      <c r="AC23" s="56">
        <f t="shared" si="33"/>
        <v>0.57999999999999996</v>
      </c>
      <c r="AD23" s="56">
        <f t="shared" ref="AD23:AF23" si="82">IFERROR(ROUND($AC23/Q23*100,2),0)</f>
        <v>14.15</v>
      </c>
      <c r="AE23" s="56">
        <f t="shared" si="82"/>
        <v>9.6</v>
      </c>
      <c r="AF23" s="14">
        <f t="shared" si="82"/>
        <v>8.36</v>
      </c>
      <c r="AK23" s="123">
        <v>10</v>
      </c>
      <c r="AL23" s="10">
        <f t="shared" si="9"/>
        <v>4.0599999999999996</v>
      </c>
      <c r="AM23" s="123">
        <f t="shared" si="16"/>
        <v>79.610000000000014</v>
      </c>
      <c r="AN23" s="123">
        <v>17.100000000000001</v>
      </c>
      <c r="AO23" s="10">
        <f t="shared" si="10"/>
        <v>6.94</v>
      </c>
      <c r="AP23" s="123">
        <f t="shared" si="17"/>
        <v>136.12000000000003</v>
      </c>
    </row>
    <row r="24" spans="1:42" ht="16.5" customHeight="1">
      <c r="A24" s="22">
        <v>45940</v>
      </c>
      <c r="B24" s="7">
        <v>19</v>
      </c>
      <c r="C24" s="8">
        <v>0.22291666666666671</v>
      </c>
      <c r="D24" s="215">
        <f t="shared" si="11"/>
        <v>4.8104166666666659</v>
      </c>
      <c r="E24" s="16">
        <v>18.121246458923547</v>
      </c>
      <c r="F24" s="9">
        <v>10.1</v>
      </c>
      <c r="G24" s="9">
        <v>14.9</v>
      </c>
      <c r="H24" s="9">
        <v>17.100000000000001</v>
      </c>
      <c r="I24" s="16">
        <v>58.666666666666664</v>
      </c>
      <c r="J24" s="10">
        <f t="shared" si="0"/>
        <v>3.29</v>
      </c>
      <c r="K24" s="10">
        <f t="shared" si="1"/>
        <v>4.8600000000000003</v>
      </c>
      <c r="L24" s="10">
        <f t="shared" si="2"/>
        <v>5.57</v>
      </c>
      <c r="M24" s="20">
        <v>10.065155807365439</v>
      </c>
      <c r="N24" s="21">
        <v>3.6769688385269142E-3</v>
      </c>
      <c r="O24" s="16">
        <v>58.666666666666664</v>
      </c>
      <c r="P24" s="12">
        <f t="shared" si="78"/>
        <v>6.7000000000000002E-4</v>
      </c>
      <c r="Q24" s="214">
        <f t="shared" ref="Q24:S24" si="83">IFERROR(J24-$P24,0)</f>
        <v>3.2893300000000001</v>
      </c>
      <c r="R24" s="214">
        <f t="shared" si="83"/>
        <v>4.8593299999999999</v>
      </c>
      <c r="S24" s="214">
        <f t="shared" si="83"/>
        <v>5.5693299999999999</v>
      </c>
      <c r="T24" s="53">
        <f t="shared" ref="T24:V24" si="84">T23+Q24</f>
        <v>83.683820000000011</v>
      </c>
      <c r="U24" s="53">
        <f t="shared" si="84"/>
        <v>123.46382</v>
      </c>
      <c r="V24" s="53">
        <f t="shared" si="84"/>
        <v>141.68382</v>
      </c>
      <c r="W24" s="13">
        <f t="shared" ref="W24:Y24" si="85">IFERROR(ROUND(Q24/J24*100,2),0)</f>
        <v>99.98</v>
      </c>
      <c r="X24" s="13">
        <f t="shared" si="85"/>
        <v>99.99</v>
      </c>
      <c r="Y24" s="13">
        <f t="shared" si="85"/>
        <v>99.99</v>
      </c>
      <c r="Z24" s="20">
        <v>0.6255191256830589</v>
      </c>
      <c r="AA24" s="9">
        <v>53.88</v>
      </c>
      <c r="AB24" s="57">
        <v>60.833333333333336</v>
      </c>
      <c r="AC24" s="56">
        <f t="shared" si="33"/>
        <v>0.63</v>
      </c>
      <c r="AD24" s="56">
        <f t="shared" ref="AD24:AF24" si="86">IFERROR(ROUND($AC24/Q24*100,2),0)</f>
        <v>19.149999999999999</v>
      </c>
      <c r="AE24" s="56">
        <f t="shared" si="86"/>
        <v>12.96</v>
      </c>
      <c r="AF24" s="14">
        <f t="shared" si="86"/>
        <v>11.31</v>
      </c>
      <c r="AK24" s="123">
        <v>10</v>
      </c>
      <c r="AL24" s="10">
        <f t="shared" si="9"/>
        <v>3.26</v>
      </c>
      <c r="AM24" s="123">
        <f t="shared" si="16"/>
        <v>82.870000000000019</v>
      </c>
      <c r="AN24" s="123">
        <v>17.100000000000001</v>
      </c>
      <c r="AO24" s="10">
        <f t="shared" si="10"/>
        <v>5.57</v>
      </c>
      <c r="AP24" s="123">
        <f t="shared" si="17"/>
        <v>141.69000000000003</v>
      </c>
    </row>
    <row r="25" spans="1:42" ht="16.5" customHeight="1">
      <c r="A25" s="22">
        <v>45944</v>
      </c>
      <c r="B25" s="7">
        <v>20</v>
      </c>
      <c r="C25" s="8">
        <v>0.21666666666666667</v>
      </c>
      <c r="D25" s="215">
        <f t="shared" si="11"/>
        <v>5.0270833333333327</v>
      </c>
      <c r="E25" s="16">
        <v>19.648562783661205</v>
      </c>
      <c r="F25" s="9">
        <v>10.1</v>
      </c>
      <c r="G25" s="9">
        <v>14.9</v>
      </c>
      <c r="H25" s="9">
        <v>17.100000000000001</v>
      </c>
      <c r="I25" s="9">
        <v>110</v>
      </c>
      <c r="J25" s="10">
        <f t="shared" si="0"/>
        <v>6.69</v>
      </c>
      <c r="K25" s="10">
        <f t="shared" si="1"/>
        <v>9.8800000000000008</v>
      </c>
      <c r="L25" s="10">
        <f t="shared" si="2"/>
        <v>11.33</v>
      </c>
      <c r="M25" s="11">
        <v>14.799999999999988</v>
      </c>
      <c r="N25" s="18">
        <v>1.3656883509833588E-3</v>
      </c>
      <c r="O25" s="9">
        <v>110</v>
      </c>
      <c r="P25" s="12">
        <f t="shared" si="78"/>
        <v>6.8000000000000005E-4</v>
      </c>
      <c r="Q25" s="214">
        <f t="shared" ref="Q25:S25" si="87">IFERROR(J25-$P25,0)</f>
        <v>6.6893200000000004</v>
      </c>
      <c r="R25" s="214">
        <f t="shared" si="87"/>
        <v>9.8793200000000017</v>
      </c>
      <c r="S25" s="214">
        <f t="shared" si="87"/>
        <v>11.329320000000001</v>
      </c>
      <c r="T25" s="53">
        <f t="shared" ref="T25:V25" si="88">T24+Q25</f>
        <v>90.373140000000006</v>
      </c>
      <c r="U25" s="53">
        <f t="shared" si="88"/>
        <v>133.34314000000001</v>
      </c>
      <c r="V25" s="53">
        <f t="shared" si="88"/>
        <v>153.01313999999999</v>
      </c>
      <c r="W25" s="13">
        <f t="shared" ref="W25:Y25" si="89">IFERROR(ROUND(Q25/J25*100,2),0)</f>
        <v>99.99</v>
      </c>
      <c r="X25" s="13">
        <f t="shared" si="89"/>
        <v>99.99</v>
      </c>
      <c r="Y25" s="13">
        <f t="shared" si="89"/>
        <v>99.99</v>
      </c>
      <c r="Z25" s="20">
        <v>0.43521857923496832</v>
      </c>
      <c r="AA25" s="9">
        <v>53.88</v>
      </c>
      <c r="AB25" s="57">
        <v>60.833333333333336</v>
      </c>
      <c r="AC25" s="56">
        <f t="shared" si="33"/>
        <v>0.44</v>
      </c>
      <c r="AD25" s="56">
        <f t="shared" ref="AD25:AF25" si="90">IFERROR(ROUND($AC25/Q25*100,2),0)</f>
        <v>6.58</v>
      </c>
      <c r="AE25" s="56">
        <f t="shared" si="90"/>
        <v>4.45</v>
      </c>
      <c r="AF25" s="14">
        <f t="shared" si="90"/>
        <v>3.88</v>
      </c>
      <c r="AK25" s="123">
        <v>10</v>
      </c>
      <c r="AL25" s="10">
        <f t="shared" si="9"/>
        <v>6.63</v>
      </c>
      <c r="AM25" s="123">
        <f t="shared" si="16"/>
        <v>89.500000000000014</v>
      </c>
      <c r="AN25" s="123">
        <v>17.100000000000001</v>
      </c>
      <c r="AO25" s="10">
        <f t="shared" si="10"/>
        <v>11.33</v>
      </c>
      <c r="AP25" s="123">
        <f t="shared" si="17"/>
        <v>153.02000000000004</v>
      </c>
    </row>
    <row r="26" spans="1:42" ht="16.5" customHeight="1">
      <c r="A26" s="22">
        <v>45945</v>
      </c>
      <c r="B26" s="7">
        <v>21</v>
      </c>
      <c r="C26" s="8">
        <v>0.17777777777777781</v>
      </c>
      <c r="D26" s="215">
        <f t="shared" si="11"/>
        <v>5.2048611111111107</v>
      </c>
      <c r="E26" s="16">
        <v>18.712802768166036</v>
      </c>
      <c r="F26" s="9">
        <v>10.1</v>
      </c>
      <c r="G26" s="9">
        <v>14.9</v>
      </c>
      <c r="H26" s="9">
        <v>17.100000000000001</v>
      </c>
      <c r="I26" s="9">
        <v>48</v>
      </c>
      <c r="J26" s="10">
        <f t="shared" si="0"/>
        <v>2.78</v>
      </c>
      <c r="K26" s="10">
        <f t="shared" si="1"/>
        <v>4.0999999999999996</v>
      </c>
      <c r="L26" s="10">
        <f t="shared" si="2"/>
        <v>4.71</v>
      </c>
      <c r="M26" s="11">
        <v>14.800000000000079</v>
      </c>
      <c r="N26" s="16">
        <v>9.9696193771626543E-3</v>
      </c>
      <c r="O26" s="9">
        <v>48</v>
      </c>
      <c r="P26" s="12">
        <f t="shared" si="78"/>
        <v>2.1700000000000001E-3</v>
      </c>
      <c r="Q26" s="214">
        <f t="shared" ref="Q26:S26" si="91">IFERROR(J26-$P26,0)</f>
        <v>2.7778299999999998</v>
      </c>
      <c r="R26" s="214">
        <f t="shared" si="91"/>
        <v>4.0978300000000001</v>
      </c>
      <c r="S26" s="214">
        <f t="shared" si="91"/>
        <v>4.7078300000000004</v>
      </c>
      <c r="T26" s="53">
        <f t="shared" ref="T26:V26" si="92">T25+Q26</f>
        <v>93.150970000000001</v>
      </c>
      <c r="U26" s="53">
        <f t="shared" si="92"/>
        <v>137.44096999999999</v>
      </c>
      <c r="V26" s="53">
        <f t="shared" si="92"/>
        <v>157.72096999999999</v>
      </c>
      <c r="W26" s="13">
        <f t="shared" ref="W26:Y26" si="93">IFERROR(ROUND(Q26/J26*100,2),0)</f>
        <v>99.92</v>
      </c>
      <c r="X26" s="13">
        <f t="shared" si="93"/>
        <v>99.95</v>
      </c>
      <c r="Y26" s="13">
        <f t="shared" si="93"/>
        <v>99.95</v>
      </c>
      <c r="Z26" s="20">
        <v>0.44204918032786356</v>
      </c>
      <c r="AA26" s="9">
        <v>53.88</v>
      </c>
      <c r="AB26" s="57">
        <v>60.833333333333336</v>
      </c>
      <c r="AC26" s="56">
        <f t="shared" si="33"/>
        <v>0.44</v>
      </c>
      <c r="AD26" s="56">
        <f t="shared" ref="AD26:AF26" si="94">IFERROR(ROUND($AC26/Q26*100,2),0)</f>
        <v>15.84</v>
      </c>
      <c r="AE26" s="56">
        <f t="shared" si="94"/>
        <v>10.74</v>
      </c>
      <c r="AF26" s="14">
        <f t="shared" si="94"/>
        <v>9.35</v>
      </c>
      <c r="AK26" s="123">
        <v>10</v>
      </c>
      <c r="AL26" s="10">
        <f t="shared" si="9"/>
        <v>2.75</v>
      </c>
      <c r="AM26" s="123">
        <f t="shared" si="16"/>
        <v>92.250000000000014</v>
      </c>
      <c r="AN26" s="123">
        <v>17.100000000000001</v>
      </c>
      <c r="AO26" s="10">
        <f t="shared" si="10"/>
        <v>4.71</v>
      </c>
      <c r="AP26" s="123">
        <f t="shared" si="17"/>
        <v>157.73000000000005</v>
      </c>
    </row>
    <row r="27" spans="1:42" ht="16.5" customHeight="1">
      <c r="A27" s="22">
        <v>45946</v>
      </c>
      <c r="B27" s="7">
        <v>22</v>
      </c>
      <c r="C27" s="8">
        <v>0.2048611111111111</v>
      </c>
      <c r="D27" s="215">
        <f t="shared" si="11"/>
        <v>5.4097222222222214</v>
      </c>
      <c r="E27" s="9">
        <v>18.299999999999951</v>
      </c>
      <c r="F27" s="9">
        <v>10.1</v>
      </c>
      <c r="G27" s="9">
        <v>14.9</v>
      </c>
      <c r="H27" s="9">
        <v>17.100000000000001</v>
      </c>
      <c r="I27" s="16">
        <v>40.166666666666664</v>
      </c>
      <c r="J27" s="10">
        <f t="shared" si="0"/>
        <v>2.2799999999999998</v>
      </c>
      <c r="K27" s="10">
        <f t="shared" si="1"/>
        <v>3.36</v>
      </c>
      <c r="L27" s="10">
        <f t="shared" si="2"/>
        <v>3.85</v>
      </c>
      <c r="M27" s="20">
        <v>11.938016528925619</v>
      </c>
      <c r="N27" s="21">
        <v>1.4825206611570219E-3</v>
      </c>
      <c r="O27" s="16">
        <v>40.166666666666664</v>
      </c>
      <c r="P27" s="12">
        <f t="shared" si="78"/>
        <v>2.2000000000000001E-4</v>
      </c>
      <c r="Q27" s="214">
        <f t="shared" ref="Q27:S27" si="95">IFERROR(J27-$P27,0)</f>
        <v>2.2797799999999997</v>
      </c>
      <c r="R27" s="214">
        <f t="shared" si="95"/>
        <v>3.3597799999999998</v>
      </c>
      <c r="S27" s="214">
        <f t="shared" si="95"/>
        <v>3.84978</v>
      </c>
      <c r="T27" s="53">
        <f t="shared" ref="T27:V27" si="96">T26+Q27</f>
        <v>95.430750000000003</v>
      </c>
      <c r="U27" s="53">
        <f t="shared" si="96"/>
        <v>140.80074999999999</v>
      </c>
      <c r="V27" s="53">
        <f t="shared" si="96"/>
        <v>161.57075</v>
      </c>
      <c r="W27" s="13">
        <f t="shared" ref="W27:Y27" si="97">IFERROR(ROUND(Q27/J27*100,2),0)</f>
        <v>99.99</v>
      </c>
      <c r="X27" s="13">
        <f t="shared" si="97"/>
        <v>99.99</v>
      </c>
      <c r="Y27" s="13">
        <f t="shared" si="97"/>
        <v>99.99</v>
      </c>
      <c r="Z27" s="20">
        <v>0.5385519125683047</v>
      </c>
      <c r="AA27" s="9">
        <v>53.88</v>
      </c>
      <c r="AB27" s="57">
        <v>60.833333333333336</v>
      </c>
      <c r="AC27" s="56">
        <f t="shared" si="33"/>
        <v>0.54</v>
      </c>
      <c r="AD27" s="56">
        <f t="shared" ref="AD27:AF27" si="98">IFERROR(ROUND($AC27/Q27*100,2),0)</f>
        <v>23.69</v>
      </c>
      <c r="AE27" s="56">
        <f t="shared" si="98"/>
        <v>16.07</v>
      </c>
      <c r="AF27" s="14">
        <f t="shared" si="98"/>
        <v>14.03</v>
      </c>
      <c r="AK27" s="123">
        <v>10</v>
      </c>
      <c r="AL27" s="10">
        <f t="shared" si="9"/>
        <v>2.25</v>
      </c>
      <c r="AM27" s="123">
        <f t="shared" si="16"/>
        <v>94.500000000000014</v>
      </c>
      <c r="AN27" s="123">
        <v>17.100000000000001</v>
      </c>
      <c r="AO27" s="10">
        <f t="shared" si="10"/>
        <v>3.85</v>
      </c>
      <c r="AP27" s="123">
        <f t="shared" si="17"/>
        <v>161.58000000000004</v>
      </c>
    </row>
    <row r="28" spans="1:42" ht="16.5" customHeight="1">
      <c r="A28" s="22">
        <v>45947</v>
      </c>
      <c r="B28" s="7">
        <v>23</v>
      </c>
      <c r="C28" s="8">
        <v>0.21597222222222223</v>
      </c>
      <c r="D28" s="215">
        <f t="shared" si="11"/>
        <v>5.6256944444444432</v>
      </c>
      <c r="E28" s="16">
        <v>25.425342465753445</v>
      </c>
      <c r="F28" s="9">
        <v>10.1</v>
      </c>
      <c r="G28" s="9">
        <v>14.9</v>
      </c>
      <c r="H28" s="9">
        <v>17.100000000000001</v>
      </c>
      <c r="I28" s="9">
        <v>48.5</v>
      </c>
      <c r="J28" s="10">
        <f t="shared" si="0"/>
        <v>3.82</v>
      </c>
      <c r="K28" s="10">
        <f t="shared" si="1"/>
        <v>5.63</v>
      </c>
      <c r="L28" s="10">
        <f t="shared" si="2"/>
        <v>6.47</v>
      </c>
      <c r="M28" s="11">
        <v>10.099999999999946</v>
      </c>
      <c r="N28" s="21">
        <v>1.9673287671232945E-3</v>
      </c>
      <c r="O28" s="9">
        <v>48.5</v>
      </c>
      <c r="P28" s="12">
        <f t="shared" si="78"/>
        <v>2.9999999999999997E-4</v>
      </c>
      <c r="Q28" s="214">
        <f t="shared" ref="Q28:S28" si="99">IFERROR(J28-$P28,0)</f>
        <v>3.8196999999999997</v>
      </c>
      <c r="R28" s="214">
        <f t="shared" si="99"/>
        <v>5.6296999999999997</v>
      </c>
      <c r="S28" s="214">
        <f t="shared" si="99"/>
        <v>6.4696999999999996</v>
      </c>
      <c r="T28" s="53">
        <f t="shared" ref="T28:V28" si="100">T27+Q28</f>
        <v>99.250450000000001</v>
      </c>
      <c r="U28" s="53">
        <f t="shared" si="100"/>
        <v>146.43045000000001</v>
      </c>
      <c r="V28" s="53">
        <f t="shared" si="100"/>
        <v>168.04044999999999</v>
      </c>
      <c r="W28" s="13">
        <f t="shared" ref="W28:Y28" si="101">IFERROR(ROUND(Q28/J28*100,2),0)</f>
        <v>99.99</v>
      </c>
      <c r="X28" s="13">
        <f t="shared" si="101"/>
        <v>99.99</v>
      </c>
      <c r="Y28" s="13">
        <f t="shared" si="101"/>
        <v>100</v>
      </c>
      <c r="Z28" s="20">
        <v>0.51671717171717357</v>
      </c>
      <c r="AA28" s="9">
        <v>53.88</v>
      </c>
      <c r="AB28" s="57">
        <v>60.833333333333336</v>
      </c>
      <c r="AC28" s="56">
        <f t="shared" si="33"/>
        <v>0.52</v>
      </c>
      <c r="AD28" s="56">
        <f t="shared" ref="AD28:AF28" si="102">IFERROR(ROUND($AC28/Q28*100,2),0)</f>
        <v>13.61</v>
      </c>
      <c r="AE28" s="56">
        <f t="shared" si="102"/>
        <v>9.24</v>
      </c>
      <c r="AF28" s="14">
        <f t="shared" si="102"/>
        <v>8.0399999999999991</v>
      </c>
      <c r="AK28" s="123">
        <v>10</v>
      </c>
      <c r="AL28" s="10">
        <f t="shared" si="9"/>
        <v>3.78</v>
      </c>
      <c r="AM28" s="123">
        <f t="shared" si="16"/>
        <v>98.280000000000015</v>
      </c>
      <c r="AN28" s="123">
        <v>17.100000000000001</v>
      </c>
      <c r="AO28" s="10">
        <f t="shared" si="10"/>
        <v>6.47</v>
      </c>
      <c r="AP28" s="123">
        <f t="shared" si="17"/>
        <v>168.05000000000004</v>
      </c>
    </row>
    <row r="29" spans="1:42" ht="16.5" customHeight="1">
      <c r="A29" s="22">
        <v>45950</v>
      </c>
      <c r="B29" s="7">
        <v>24</v>
      </c>
      <c r="C29" s="8">
        <v>0.2277777777777778</v>
      </c>
      <c r="D29" s="215">
        <f t="shared" si="11"/>
        <v>5.8534722222222211</v>
      </c>
      <c r="E29" s="16">
        <v>12.457407407407441</v>
      </c>
      <c r="F29" s="9">
        <v>10.1</v>
      </c>
      <c r="G29" s="9">
        <v>14.9</v>
      </c>
      <c r="H29" s="9">
        <v>17.100000000000001</v>
      </c>
      <c r="I29" s="16">
        <v>53.833333333333336</v>
      </c>
      <c r="J29" s="10">
        <f t="shared" si="0"/>
        <v>2.08</v>
      </c>
      <c r="K29" s="10">
        <f t="shared" si="1"/>
        <v>3.06</v>
      </c>
      <c r="L29" s="10">
        <f t="shared" si="2"/>
        <v>3.52</v>
      </c>
      <c r="M29" s="11">
        <v>14.80000000000009</v>
      </c>
      <c r="N29" s="21">
        <v>6.3147222222222337E-3</v>
      </c>
      <c r="O29" s="16">
        <v>53.833333333333336</v>
      </c>
      <c r="P29" s="12">
        <f t="shared" si="78"/>
        <v>1.5399999999999999E-3</v>
      </c>
      <c r="Q29" s="214">
        <f t="shared" ref="Q29:S29" si="103">IFERROR(J29-$P29,0)</f>
        <v>2.0784600000000002</v>
      </c>
      <c r="R29" s="214">
        <f t="shared" si="103"/>
        <v>3.0584600000000002</v>
      </c>
      <c r="S29" s="214">
        <f t="shared" si="103"/>
        <v>3.5184600000000001</v>
      </c>
      <c r="T29" s="53">
        <f t="shared" ref="T29:V29" si="104">T28+Q29</f>
        <v>101.32891000000001</v>
      </c>
      <c r="U29" s="53">
        <f t="shared" si="104"/>
        <v>149.48891</v>
      </c>
      <c r="V29" s="53">
        <f t="shared" si="104"/>
        <v>171.55891</v>
      </c>
      <c r="W29" s="13">
        <f t="shared" ref="W29:Y29" si="105">IFERROR(ROUND(Q29/J29*100,2),0)</f>
        <v>99.93</v>
      </c>
      <c r="X29" s="13">
        <f t="shared" si="105"/>
        <v>99.95</v>
      </c>
      <c r="Y29" s="13">
        <f t="shared" si="105"/>
        <v>99.96</v>
      </c>
      <c r="Z29" s="20">
        <v>0.22681818181818364</v>
      </c>
      <c r="AA29" s="9">
        <v>53.88</v>
      </c>
      <c r="AB29" s="57">
        <v>65.833333333333329</v>
      </c>
      <c r="AC29" s="56">
        <f t="shared" si="33"/>
        <v>0.25</v>
      </c>
      <c r="AD29" s="56">
        <f t="shared" ref="AD29:AF29" si="106">IFERROR(ROUND($AC29/Q29*100,2),0)</f>
        <v>12.03</v>
      </c>
      <c r="AE29" s="56">
        <f t="shared" si="106"/>
        <v>8.17</v>
      </c>
      <c r="AF29" s="14">
        <f t="shared" si="106"/>
        <v>7.11</v>
      </c>
      <c r="AK29" s="123">
        <v>10</v>
      </c>
      <c r="AL29" s="10">
        <f t="shared" si="9"/>
        <v>2.06</v>
      </c>
      <c r="AM29" s="123">
        <f t="shared" si="16"/>
        <v>100.34000000000002</v>
      </c>
      <c r="AN29" s="123">
        <v>17.100000000000001</v>
      </c>
      <c r="AO29" s="10">
        <f t="shared" si="10"/>
        <v>3.52</v>
      </c>
      <c r="AP29" s="123">
        <f t="shared" si="17"/>
        <v>171.57000000000005</v>
      </c>
    </row>
    <row r="30" spans="1:42" ht="16.5" customHeight="1">
      <c r="A30" s="22">
        <v>45951</v>
      </c>
      <c r="B30" s="7">
        <v>25</v>
      </c>
      <c r="C30" s="8">
        <v>0.21250000000000002</v>
      </c>
      <c r="D30" s="215">
        <f t="shared" si="11"/>
        <v>6.0659722222222214</v>
      </c>
      <c r="E30" s="16">
        <v>18.289099526066352</v>
      </c>
      <c r="F30" s="9">
        <v>10.1</v>
      </c>
      <c r="G30" s="9">
        <v>14.9</v>
      </c>
      <c r="H30" s="9">
        <v>17.100000000000001</v>
      </c>
      <c r="I30" s="9">
        <v>35</v>
      </c>
      <c r="J30" s="10">
        <f t="shared" si="0"/>
        <v>1.98</v>
      </c>
      <c r="K30" s="10">
        <f t="shared" si="1"/>
        <v>2.92</v>
      </c>
      <c r="L30" s="10">
        <f t="shared" si="2"/>
        <v>3.36</v>
      </c>
      <c r="M30" s="11">
        <v>14.900000000000057</v>
      </c>
      <c r="N30" s="21">
        <v>1.0243127962085311E-3</v>
      </c>
      <c r="O30" s="9">
        <v>35</v>
      </c>
      <c r="P30" s="12">
        <f t="shared" si="78"/>
        <v>1.6000000000000001E-4</v>
      </c>
      <c r="Q30" s="214">
        <f t="shared" ref="Q30:S30" si="107">IFERROR(J30-$P30,0)</f>
        <v>1.97984</v>
      </c>
      <c r="R30" s="214">
        <f t="shared" si="107"/>
        <v>2.9198399999999998</v>
      </c>
      <c r="S30" s="214">
        <f t="shared" si="107"/>
        <v>3.3598399999999997</v>
      </c>
      <c r="T30" s="53">
        <f t="shared" ref="T30:V30" si="108">T29+Q30</f>
        <v>103.30875</v>
      </c>
      <c r="U30" s="53">
        <f t="shared" si="108"/>
        <v>152.40875</v>
      </c>
      <c r="V30" s="53">
        <f t="shared" si="108"/>
        <v>174.91874999999999</v>
      </c>
      <c r="W30" s="13">
        <f t="shared" ref="W30:Y30" si="109">IFERROR(ROUND(Q30/J30*100,2),0)</f>
        <v>99.99</v>
      </c>
      <c r="X30" s="13">
        <f t="shared" si="109"/>
        <v>99.99</v>
      </c>
      <c r="Y30" s="13">
        <f t="shared" si="109"/>
        <v>100</v>
      </c>
      <c r="Z30" s="20">
        <v>0.20186567164179259</v>
      </c>
      <c r="AA30" s="9">
        <v>53.88</v>
      </c>
      <c r="AB30" s="57">
        <v>66.833333333333329</v>
      </c>
      <c r="AC30" s="56">
        <f t="shared" si="33"/>
        <v>0.22</v>
      </c>
      <c r="AD30" s="56">
        <f t="shared" ref="AD30:AF30" si="110">IFERROR(ROUND($AC30/Q30*100,2),0)</f>
        <v>11.11</v>
      </c>
      <c r="AE30" s="56">
        <f t="shared" si="110"/>
        <v>7.53</v>
      </c>
      <c r="AF30" s="14">
        <f t="shared" si="110"/>
        <v>6.55</v>
      </c>
      <c r="AK30" s="123">
        <v>10</v>
      </c>
      <c r="AL30" s="10">
        <f t="shared" si="9"/>
        <v>1.96</v>
      </c>
      <c r="AM30" s="123">
        <f t="shared" si="16"/>
        <v>102.30000000000001</v>
      </c>
      <c r="AN30" s="123">
        <v>17.100000000000001</v>
      </c>
      <c r="AO30" s="10">
        <f t="shared" si="10"/>
        <v>3.36</v>
      </c>
      <c r="AP30" s="123">
        <f t="shared" si="17"/>
        <v>174.93000000000006</v>
      </c>
    </row>
    <row r="31" spans="1:42" ht="16.5" customHeight="1">
      <c r="A31" s="22">
        <v>45954</v>
      </c>
      <c r="B31" s="7">
        <v>26</v>
      </c>
      <c r="C31" s="8">
        <v>0.23958333333333337</v>
      </c>
      <c r="D31" s="215">
        <f t="shared" si="11"/>
        <v>6.3055555555555545</v>
      </c>
      <c r="E31" s="16">
        <v>19.088073394495513</v>
      </c>
      <c r="F31" s="9">
        <v>10.1</v>
      </c>
      <c r="G31" s="9">
        <v>14.9</v>
      </c>
      <c r="H31" s="9">
        <v>17.100000000000001</v>
      </c>
      <c r="I31" s="16">
        <v>36.166666666666664</v>
      </c>
      <c r="J31" s="10">
        <f t="shared" si="0"/>
        <v>2.14</v>
      </c>
      <c r="K31" s="10">
        <f t="shared" si="1"/>
        <v>3.15</v>
      </c>
      <c r="L31" s="10">
        <f t="shared" si="2"/>
        <v>3.62</v>
      </c>
      <c r="M31" s="20">
        <v>14.928440366972524</v>
      </c>
      <c r="N31" s="19">
        <v>1.3537614678899084E-3</v>
      </c>
      <c r="O31" s="16">
        <v>36.166666666666664</v>
      </c>
      <c r="P31" s="12">
        <f t="shared" si="78"/>
        <v>2.2000000000000001E-4</v>
      </c>
      <c r="Q31" s="214">
        <f t="shared" ref="Q31:S31" si="111">IFERROR(J31-$P31,0)</f>
        <v>2.13978</v>
      </c>
      <c r="R31" s="214">
        <f t="shared" si="111"/>
        <v>3.1497799999999998</v>
      </c>
      <c r="S31" s="214">
        <f t="shared" si="111"/>
        <v>3.61978</v>
      </c>
      <c r="T31" s="53">
        <f t="shared" ref="T31:V31" si="112">T30+Q31</f>
        <v>105.44853000000001</v>
      </c>
      <c r="U31" s="53">
        <f t="shared" si="112"/>
        <v>155.55852999999999</v>
      </c>
      <c r="V31" s="53">
        <f t="shared" si="112"/>
        <v>178.53852999999998</v>
      </c>
      <c r="W31" s="13">
        <f t="shared" ref="W31:Y31" si="113">IFERROR(ROUND(Q31/J31*100,2),0)</f>
        <v>99.99</v>
      </c>
      <c r="X31" s="13">
        <f t="shared" si="113"/>
        <v>99.99</v>
      </c>
      <c r="Y31" s="13">
        <f t="shared" si="113"/>
        <v>99.99</v>
      </c>
      <c r="Z31" s="20">
        <v>0.2245081967213127</v>
      </c>
      <c r="AA31" s="9">
        <v>53.879999999999875</v>
      </c>
      <c r="AB31" s="57">
        <v>60.833333333333336</v>
      </c>
      <c r="AC31" s="56">
        <f t="shared" si="33"/>
        <v>0.23</v>
      </c>
      <c r="AD31" s="56">
        <f t="shared" ref="AD31:AF31" si="114">IFERROR(ROUND($AC31/Q31*100,2),0)</f>
        <v>10.75</v>
      </c>
      <c r="AE31" s="56">
        <f t="shared" si="114"/>
        <v>7.3</v>
      </c>
      <c r="AF31" s="14">
        <f t="shared" si="114"/>
        <v>6.35</v>
      </c>
      <c r="AK31" s="123">
        <v>10</v>
      </c>
      <c r="AL31" s="10">
        <f t="shared" si="9"/>
        <v>2.12</v>
      </c>
      <c r="AM31" s="123">
        <f t="shared" si="16"/>
        <v>104.42000000000002</v>
      </c>
      <c r="AN31" s="123">
        <v>17.100000000000001</v>
      </c>
      <c r="AO31" s="10">
        <f t="shared" si="10"/>
        <v>3.62</v>
      </c>
      <c r="AP31" s="123">
        <f t="shared" si="17"/>
        <v>178.55000000000007</v>
      </c>
    </row>
    <row r="32" spans="1:42" ht="16.5" customHeight="1">
      <c r="A32" s="22">
        <v>45957</v>
      </c>
      <c r="B32" s="7">
        <v>27</v>
      </c>
      <c r="C32" s="8">
        <v>0.19930555555555551</v>
      </c>
      <c r="D32" s="215">
        <f t="shared" si="11"/>
        <v>6.5048611111111097</v>
      </c>
      <c r="E32" s="16">
        <v>24.774999999999995</v>
      </c>
      <c r="F32" s="9">
        <v>10.1</v>
      </c>
      <c r="G32" s="9">
        <v>14.9</v>
      </c>
      <c r="H32" s="9">
        <v>17.100000000000001</v>
      </c>
      <c r="I32" s="16">
        <v>27.833333333333332</v>
      </c>
      <c r="J32" s="10">
        <f t="shared" si="0"/>
        <v>2.14</v>
      </c>
      <c r="K32" s="10">
        <f t="shared" si="1"/>
        <v>3.15</v>
      </c>
      <c r="L32" s="10">
        <f t="shared" si="2"/>
        <v>3.62</v>
      </c>
      <c r="M32" s="11">
        <v>15.099999999999952</v>
      </c>
      <c r="N32" s="18">
        <v>7.9273809523809516E-4</v>
      </c>
      <c r="O32" s="16">
        <v>27.833333333333332</v>
      </c>
      <c r="P32" s="12">
        <f t="shared" si="78"/>
        <v>1E-4</v>
      </c>
      <c r="Q32" s="214">
        <f t="shared" ref="Q32:S32" si="115">IFERROR(J32-$P32,0)</f>
        <v>2.1398999999999999</v>
      </c>
      <c r="R32" s="214">
        <f t="shared" si="115"/>
        <v>3.1498999999999997</v>
      </c>
      <c r="S32" s="214">
        <f t="shared" si="115"/>
        <v>3.6198999999999999</v>
      </c>
      <c r="T32" s="53">
        <f t="shared" ref="T32:V32" si="116">T31+Q32</f>
        <v>107.58843</v>
      </c>
      <c r="U32" s="53">
        <f t="shared" si="116"/>
        <v>158.70842999999999</v>
      </c>
      <c r="V32" s="53">
        <f t="shared" si="116"/>
        <v>182.15842999999998</v>
      </c>
      <c r="W32" s="13">
        <f t="shared" ref="W32:Y32" si="117">IFERROR(ROUND(Q32/J32*100,2),0)</f>
        <v>100</v>
      </c>
      <c r="X32" s="13">
        <f t="shared" si="117"/>
        <v>100</v>
      </c>
      <c r="Y32" s="13">
        <f t="shared" si="117"/>
        <v>100</v>
      </c>
      <c r="Z32" s="11">
        <v>0.20000000000000137</v>
      </c>
      <c r="AA32" s="9">
        <v>53.879999999999875</v>
      </c>
      <c r="AB32" s="57">
        <v>60.833333333333336</v>
      </c>
      <c r="AC32" s="56">
        <f t="shared" si="33"/>
        <v>0.2</v>
      </c>
      <c r="AD32" s="56">
        <f t="shared" ref="AD32:AF32" si="118">IFERROR(ROUND($AC32/Q32*100,2),0)</f>
        <v>9.35</v>
      </c>
      <c r="AE32" s="56">
        <f t="shared" si="118"/>
        <v>6.35</v>
      </c>
      <c r="AF32" s="14">
        <f t="shared" si="118"/>
        <v>5.53</v>
      </c>
      <c r="AK32" s="123">
        <v>10</v>
      </c>
      <c r="AL32" s="10">
        <f t="shared" si="9"/>
        <v>2.11</v>
      </c>
      <c r="AM32" s="123">
        <f t="shared" si="16"/>
        <v>106.53000000000002</v>
      </c>
      <c r="AN32" s="123">
        <v>17.100000000000001</v>
      </c>
      <c r="AO32" s="10">
        <f t="shared" si="10"/>
        <v>3.62</v>
      </c>
      <c r="AP32" s="123">
        <f t="shared" si="17"/>
        <v>182.17000000000007</v>
      </c>
    </row>
    <row r="33" spans="1:42" ht="16.5" customHeight="1">
      <c r="A33" s="22">
        <v>45958</v>
      </c>
      <c r="B33" s="7">
        <v>28</v>
      </c>
      <c r="C33" s="8">
        <v>0.22083333333333338</v>
      </c>
      <c r="D33" s="215">
        <f t="shared" si="11"/>
        <v>6.7256944444444429</v>
      </c>
      <c r="E33" s="9">
        <v>24.949999999999964</v>
      </c>
      <c r="F33" s="9">
        <v>10.1</v>
      </c>
      <c r="G33" s="9">
        <v>14.9</v>
      </c>
      <c r="H33" s="9">
        <v>17.100000000000001</v>
      </c>
      <c r="I33" s="16">
        <v>27.833333333333332</v>
      </c>
      <c r="J33" s="10">
        <f t="shared" si="0"/>
        <v>2.15</v>
      </c>
      <c r="K33" s="10">
        <f t="shared" si="1"/>
        <v>3.17</v>
      </c>
      <c r="L33" s="10">
        <f t="shared" si="2"/>
        <v>3.64</v>
      </c>
      <c r="M33" s="11">
        <v>15.099999999999952</v>
      </c>
      <c r="N33" s="9">
        <v>1.1010714285714283E-3</v>
      </c>
      <c r="O33" s="16">
        <v>27.833333333333332</v>
      </c>
      <c r="P33" s="12">
        <f t="shared" si="78"/>
        <v>1.3999999999999999E-4</v>
      </c>
      <c r="Q33" s="214">
        <f t="shared" ref="Q33:S33" si="119">IFERROR(J33-$P33,0)</f>
        <v>2.1498599999999999</v>
      </c>
      <c r="R33" s="214">
        <f t="shared" si="119"/>
        <v>3.1698599999999999</v>
      </c>
      <c r="S33" s="214">
        <f t="shared" si="119"/>
        <v>3.6398600000000001</v>
      </c>
      <c r="T33" s="53">
        <f t="shared" ref="T33:V33" si="120">T32+Q33</f>
        <v>109.73829000000001</v>
      </c>
      <c r="U33" s="53">
        <f t="shared" si="120"/>
        <v>161.87828999999999</v>
      </c>
      <c r="V33" s="53">
        <f t="shared" si="120"/>
        <v>185.79828999999998</v>
      </c>
      <c r="W33" s="13">
        <f t="shared" ref="W33:Y33" si="121">IFERROR(ROUND(Q33/J33*100,2),0)</f>
        <v>99.99</v>
      </c>
      <c r="X33" s="13">
        <f t="shared" si="121"/>
        <v>100</v>
      </c>
      <c r="Y33" s="13">
        <f t="shared" si="121"/>
        <v>100</v>
      </c>
      <c r="Z33" s="20">
        <v>0.25296875000000213</v>
      </c>
      <c r="AA33" s="9">
        <v>53.879999999999932</v>
      </c>
      <c r="AB33" s="57">
        <v>63.833333333333336</v>
      </c>
      <c r="AC33" s="56">
        <f t="shared" si="33"/>
        <v>0.27</v>
      </c>
      <c r="AD33" s="56">
        <f t="shared" ref="AD33:AF33" si="122">IFERROR(ROUND($AC33/Q33*100,2),0)</f>
        <v>12.56</v>
      </c>
      <c r="AE33" s="56">
        <f t="shared" si="122"/>
        <v>8.52</v>
      </c>
      <c r="AF33" s="14">
        <f t="shared" si="122"/>
        <v>7.42</v>
      </c>
      <c r="AK33" s="123">
        <v>10</v>
      </c>
      <c r="AL33" s="10">
        <f t="shared" si="9"/>
        <v>2.13</v>
      </c>
      <c r="AM33" s="123">
        <f t="shared" si="16"/>
        <v>108.66000000000001</v>
      </c>
      <c r="AN33" s="123">
        <v>17.100000000000001</v>
      </c>
      <c r="AO33" s="10">
        <f t="shared" si="10"/>
        <v>3.64</v>
      </c>
      <c r="AP33" s="123">
        <f t="shared" si="17"/>
        <v>185.81000000000006</v>
      </c>
    </row>
    <row r="34" spans="1:42" ht="16.5" customHeight="1">
      <c r="A34" s="22">
        <v>45959</v>
      </c>
      <c r="B34" s="7">
        <v>29</v>
      </c>
      <c r="C34" s="8">
        <v>0.25486111111111115</v>
      </c>
      <c r="D34" s="215">
        <f t="shared" si="11"/>
        <v>6.9805555555555543</v>
      </c>
      <c r="E34" s="16">
        <v>24.490909090909014</v>
      </c>
      <c r="F34" s="9">
        <v>10.1</v>
      </c>
      <c r="G34" s="9">
        <v>14.9</v>
      </c>
      <c r="H34" s="9">
        <v>17.100000000000001</v>
      </c>
      <c r="I34" s="9">
        <v>80.5</v>
      </c>
      <c r="J34" s="10">
        <f t="shared" si="0"/>
        <v>6.11</v>
      </c>
      <c r="K34" s="10">
        <f t="shared" si="1"/>
        <v>9.01</v>
      </c>
      <c r="L34" s="10">
        <f t="shared" si="2"/>
        <v>10.34</v>
      </c>
      <c r="M34" s="11">
        <v>15.100000000000124</v>
      </c>
      <c r="N34" s="9">
        <v>6.2030991735537366E-3</v>
      </c>
      <c r="O34" s="9">
        <v>80.5</v>
      </c>
      <c r="P34" s="12">
        <f t="shared" si="78"/>
        <v>2.31E-3</v>
      </c>
      <c r="Q34" s="214">
        <f t="shared" ref="Q34:S34" si="123">IFERROR(J34-$P34,0)</f>
        <v>6.1076900000000007</v>
      </c>
      <c r="R34" s="214">
        <f t="shared" si="123"/>
        <v>9.0076900000000002</v>
      </c>
      <c r="S34" s="214">
        <f t="shared" si="123"/>
        <v>10.33769</v>
      </c>
      <c r="T34" s="53">
        <f t="shared" ref="T34:V34" si="124">T33+Q34</f>
        <v>115.84598000000001</v>
      </c>
      <c r="U34" s="53">
        <f t="shared" si="124"/>
        <v>170.88597999999999</v>
      </c>
      <c r="V34" s="53">
        <f t="shared" si="124"/>
        <v>196.13597999999999</v>
      </c>
      <c r="W34" s="13">
        <f t="shared" ref="W34:Y34" si="125">IFERROR(ROUND(Q34/J34*100,2),0)</f>
        <v>99.96</v>
      </c>
      <c r="X34" s="13">
        <f t="shared" si="125"/>
        <v>99.97</v>
      </c>
      <c r="Y34" s="13">
        <f t="shared" si="125"/>
        <v>99.98</v>
      </c>
      <c r="Z34" s="11">
        <v>0.20000000000000137</v>
      </c>
      <c r="AA34" s="9">
        <v>53.879999999999875</v>
      </c>
      <c r="AB34" s="57">
        <v>60.833333333333336</v>
      </c>
      <c r="AC34" s="56">
        <f t="shared" si="33"/>
        <v>0.2</v>
      </c>
      <c r="AD34" s="56">
        <f t="shared" ref="AD34:AF34" si="126">IFERROR(ROUND($AC34/Q34*100,2),0)</f>
        <v>3.27</v>
      </c>
      <c r="AE34" s="56">
        <f t="shared" si="126"/>
        <v>2.2200000000000002</v>
      </c>
      <c r="AF34" s="14">
        <f t="shared" si="126"/>
        <v>1.93</v>
      </c>
      <c r="AK34" s="123">
        <v>10</v>
      </c>
      <c r="AL34" s="10">
        <f t="shared" si="9"/>
        <v>6.05</v>
      </c>
      <c r="AM34" s="123">
        <f t="shared" si="16"/>
        <v>114.71000000000001</v>
      </c>
      <c r="AN34" s="123">
        <v>17.100000000000001</v>
      </c>
      <c r="AO34" s="10">
        <f t="shared" si="10"/>
        <v>10.34</v>
      </c>
      <c r="AP34" s="123">
        <f t="shared" si="17"/>
        <v>196.15000000000006</v>
      </c>
    </row>
    <row r="35" spans="1:42" ht="16.5" customHeight="1">
      <c r="A35" s="22">
        <v>45960</v>
      </c>
      <c r="B35" s="23">
        <v>30</v>
      </c>
      <c r="C35" s="24">
        <v>0.18958333333333338</v>
      </c>
      <c r="D35" s="25">
        <f t="shared" si="11"/>
        <v>7.1701388888888875</v>
      </c>
      <c r="E35" s="26">
        <v>26.544000000000032</v>
      </c>
      <c r="F35" s="27">
        <v>10.1</v>
      </c>
      <c r="G35" s="27">
        <v>14.9</v>
      </c>
      <c r="H35" s="27">
        <v>17.100000000000001</v>
      </c>
      <c r="I35" s="28">
        <v>24.833333333333332</v>
      </c>
      <c r="J35" s="29">
        <f t="shared" si="0"/>
        <v>2.04</v>
      </c>
      <c r="K35" s="29">
        <f t="shared" si="1"/>
        <v>3.01</v>
      </c>
      <c r="L35" s="29">
        <f t="shared" si="2"/>
        <v>3.46</v>
      </c>
      <c r="M35" s="217">
        <v>15.099999999999957</v>
      </c>
      <c r="N35" s="30">
        <v>1.3751333333333331E-3</v>
      </c>
      <c r="O35" s="28">
        <v>24.833333333333332</v>
      </c>
      <c r="P35" s="31">
        <f t="shared" si="78"/>
        <v>1.6000000000000001E-4</v>
      </c>
      <c r="Q35" s="32">
        <f t="shared" ref="Q35:S35" si="127">IFERROR(J35-$P35,0)</f>
        <v>2.0398399999999999</v>
      </c>
      <c r="R35" s="32">
        <f t="shared" si="127"/>
        <v>3.0098399999999996</v>
      </c>
      <c r="S35" s="32">
        <f t="shared" si="127"/>
        <v>3.4598399999999998</v>
      </c>
      <c r="T35" s="33">
        <f t="shared" ref="T35:V35" si="128">T34+Q35</f>
        <v>117.88582000000001</v>
      </c>
      <c r="U35" s="33">
        <f t="shared" si="128"/>
        <v>173.89581999999999</v>
      </c>
      <c r="V35" s="33">
        <f t="shared" si="128"/>
        <v>199.59582</v>
      </c>
      <c r="W35" s="34">
        <f t="shared" ref="W35:Y35" si="129">IFERROR(ROUND(Q35/J35*100,2),0)</f>
        <v>99.99</v>
      </c>
      <c r="X35" s="34">
        <f t="shared" si="129"/>
        <v>99.99</v>
      </c>
      <c r="Y35" s="34">
        <f t="shared" si="129"/>
        <v>100</v>
      </c>
      <c r="Z35" s="218">
        <v>0.20013661202185931</v>
      </c>
      <c r="AA35" s="27">
        <v>53.879999999999875</v>
      </c>
      <c r="AB35" s="136">
        <v>60.833333333333336</v>
      </c>
      <c r="AC35" s="77">
        <f t="shared" si="33"/>
        <v>0.2</v>
      </c>
      <c r="AD35" s="77">
        <f t="shared" ref="AD35:AF35" si="130">IFERROR(ROUND($AC35/Q35*100,2),0)</f>
        <v>9.8000000000000007</v>
      </c>
      <c r="AE35" s="77">
        <f t="shared" si="130"/>
        <v>6.64</v>
      </c>
      <c r="AF35" s="35">
        <f t="shared" si="130"/>
        <v>5.78</v>
      </c>
      <c r="AK35" s="123">
        <v>10</v>
      </c>
      <c r="AL35" s="10">
        <f t="shared" si="9"/>
        <v>2.02</v>
      </c>
      <c r="AM35" s="123">
        <f t="shared" si="16"/>
        <v>116.73</v>
      </c>
      <c r="AN35" s="123">
        <v>17.100000000000001</v>
      </c>
      <c r="AO35" s="10">
        <f t="shared" si="10"/>
        <v>3.46</v>
      </c>
      <c r="AP35" s="123">
        <f t="shared" si="17"/>
        <v>199.61000000000007</v>
      </c>
    </row>
    <row r="36" spans="1:42" ht="16.5" customHeight="1">
      <c r="A36" s="36" t="s">
        <v>19</v>
      </c>
      <c r="B36" s="36"/>
      <c r="C36" s="37">
        <f>AVERAGE(C6:C35)</f>
        <v>0.23900462962962959</v>
      </c>
      <c r="D36" s="37">
        <f>D35</f>
        <v>7.1701388888888875</v>
      </c>
      <c r="E36" s="78"/>
      <c r="F36" s="78"/>
      <c r="G36" s="78"/>
      <c r="H36" s="78"/>
      <c r="I36" s="78"/>
      <c r="J36" s="78">
        <f t="shared" ref="J36:L36" si="131">SUM(J6:J35)</f>
        <v>117.90000000000002</v>
      </c>
      <c r="K36" s="78">
        <f t="shared" si="131"/>
        <v>173.91</v>
      </c>
      <c r="L36" s="78">
        <f t="shared" si="131"/>
        <v>199.61000000000007</v>
      </c>
      <c r="M36" s="78"/>
      <c r="N36" s="78"/>
      <c r="O36" s="78"/>
      <c r="P36" s="80">
        <f t="shared" ref="P36:S36" si="132">SUM(P6:P35)</f>
        <v>1.4179999999999998E-2</v>
      </c>
      <c r="Q36" s="38">
        <f t="shared" si="132"/>
        <v>117.88582000000001</v>
      </c>
      <c r="R36" s="38">
        <f t="shared" si="132"/>
        <v>173.89581999999999</v>
      </c>
      <c r="S36" s="38">
        <f t="shared" si="132"/>
        <v>199.59582</v>
      </c>
      <c r="T36" s="38"/>
      <c r="U36" s="38"/>
      <c r="V36" s="38"/>
      <c r="W36" s="78">
        <f t="shared" ref="W36:Y36" si="133">ROUND(AVERAGE(W6:W35),2)</f>
        <v>99.99</v>
      </c>
      <c r="X36" s="78">
        <f t="shared" si="133"/>
        <v>99.99</v>
      </c>
      <c r="Y36" s="78">
        <f t="shared" si="133"/>
        <v>99.99</v>
      </c>
      <c r="Z36" s="78"/>
      <c r="AA36" s="78"/>
      <c r="AB36" s="78"/>
      <c r="AC36" s="78">
        <f>SUM(AC6:AC35)</f>
        <v>15.249999999999998</v>
      </c>
      <c r="AD36" s="78">
        <f t="shared" ref="AD36:AF36" si="134">ROUND(AVERAGE(AD6:AD35),2)</f>
        <v>12.63</v>
      </c>
      <c r="AE36" s="78">
        <f t="shared" si="134"/>
        <v>8.56</v>
      </c>
      <c r="AF36" s="78">
        <f t="shared" si="134"/>
        <v>7.46</v>
      </c>
      <c r="AK36" s="123" t="s">
        <v>19</v>
      </c>
      <c r="AL36" s="137">
        <f>SUM(AL6:AL35)</f>
        <v>116.73</v>
      </c>
      <c r="AO36" s="137">
        <f>SUM(AO6:AO35)</f>
        <v>199.61000000000007</v>
      </c>
    </row>
    <row r="37" spans="1:42" ht="16.5" customHeight="1"/>
    <row r="38" spans="1:42" ht="16.5" customHeight="1"/>
    <row r="39" spans="1:42" ht="16.5" customHeight="1"/>
    <row r="40" spans="1:42" ht="16.5" customHeight="1"/>
    <row r="41" spans="1:42" ht="16.5" customHeight="1"/>
    <row r="42" spans="1:42" ht="16.5" customHeight="1"/>
    <row r="43" spans="1:42" ht="16.5" customHeight="1"/>
    <row r="44" spans="1:42" ht="16.5" customHeight="1"/>
    <row r="45" spans="1:42" ht="16.5" customHeight="1"/>
    <row r="46" spans="1:42" ht="16.5" customHeight="1"/>
    <row r="47" spans="1:42" ht="16.5" customHeight="1"/>
    <row r="48" spans="1:4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3">
    <mergeCell ref="AD4:AF4"/>
    <mergeCell ref="B3:B4"/>
    <mergeCell ref="C3:C4"/>
    <mergeCell ref="D3:D4"/>
    <mergeCell ref="E3:L3"/>
    <mergeCell ref="M3:P3"/>
    <mergeCell ref="Q3:Y3"/>
    <mergeCell ref="Z3:AF3"/>
    <mergeCell ref="F4:H4"/>
    <mergeCell ref="J4:L4"/>
    <mergeCell ref="Q4:S4"/>
    <mergeCell ref="T4:V4"/>
    <mergeCell ref="W4:Y4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000"/>
  <sheetViews>
    <sheetView workbookViewId="0"/>
  </sheetViews>
  <sheetFormatPr defaultColWidth="12.6640625" defaultRowHeight="15" customHeight="1"/>
  <cols>
    <col min="1" max="1" width="8.6640625" customWidth="1"/>
    <col min="2" max="2" width="19.33203125" customWidth="1"/>
    <col min="3" max="3" width="10" customWidth="1"/>
    <col min="4" max="6" width="8.6640625" customWidth="1"/>
    <col min="7" max="7" width="16.6640625" customWidth="1"/>
    <col min="8" max="8" width="7.33203125" customWidth="1"/>
    <col min="9" max="36" width="8.6640625" customWidth="1"/>
  </cols>
  <sheetData>
    <row r="1" spans="2:9" ht="16.5" customHeight="1"/>
    <row r="2" spans="2:9" ht="16.5" customHeight="1">
      <c r="B2" s="123" t="s">
        <v>132</v>
      </c>
      <c r="I2" s="123" t="s">
        <v>133</v>
      </c>
    </row>
    <row r="3" spans="2:9" ht="16.5" customHeight="1"/>
    <row r="4" spans="2:9" ht="16.5" customHeight="1"/>
    <row r="5" spans="2:9" ht="16.5" customHeight="1"/>
    <row r="6" spans="2:9" ht="16.5" customHeight="1"/>
    <row r="7" spans="2:9" ht="16.5" customHeight="1"/>
    <row r="8" spans="2:9" ht="16.5" customHeight="1"/>
    <row r="9" spans="2:9" ht="16.5" customHeight="1"/>
    <row r="10" spans="2:9" ht="16.5" customHeight="1"/>
    <row r="11" spans="2:9" ht="16.5" customHeight="1"/>
    <row r="12" spans="2:9" ht="16.5" customHeight="1"/>
    <row r="13" spans="2:9" ht="16.5" customHeight="1"/>
    <row r="14" spans="2:9" ht="16.5" customHeight="1"/>
    <row r="15" spans="2:9" ht="16.5" customHeight="1"/>
    <row r="16" spans="2:9" ht="16.5" customHeight="1"/>
    <row r="17" spans="2:8" ht="16.5" customHeight="1"/>
    <row r="18" spans="2:8" ht="16.5" customHeight="1"/>
    <row r="19" spans="2:8" ht="16.5" customHeight="1"/>
    <row r="20" spans="2:8" ht="16.5" customHeight="1"/>
    <row r="21" spans="2:8" ht="16.5" customHeight="1">
      <c r="B21" s="125" t="s">
        <v>65</v>
      </c>
      <c r="C21" s="125" t="s">
        <v>66</v>
      </c>
      <c r="G21" s="125" t="s">
        <v>6</v>
      </c>
      <c r="H21" s="125" t="s">
        <v>68</v>
      </c>
    </row>
    <row r="22" spans="2:8" ht="16.5" customHeight="1">
      <c r="B22" s="130" t="s">
        <v>134</v>
      </c>
      <c r="C22" s="128" t="e">
        <f>#REF!</f>
        <v>#REF!</v>
      </c>
      <c r="G22" s="130" t="s">
        <v>134</v>
      </c>
      <c r="H22" s="129" t="e">
        <f>#REF!</f>
        <v>#REF!</v>
      </c>
    </row>
    <row r="23" spans="2:8" ht="16.5" customHeight="1">
      <c r="B23" s="130" t="s">
        <v>135</v>
      </c>
      <c r="C23" s="128">
        <f>'Run 2 Gen 1+2'!C43</f>
        <v>0.23386330409356723</v>
      </c>
      <c r="G23" s="130" t="s">
        <v>135</v>
      </c>
      <c r="H23" s="129">
        <f>'Run 2 Gen 1+2'!M43</f>
        <v>0</v>
      </c>
    </row>
    <row r="24" spans="2:8" ht="16.5" customHeight="1">
      <c r="B24" s="117" t="s">
        <v>19</v>
      </c>
      <c r="C24" s="138" t="e">
        <f>SUM(C22:C23)</f>
        <v>#REF!</v>
      </c>
      <c r="G24" s="117" t="s">
        <v>19</v>
      </c>
      <c r="H24" s="139" t="e">
        <f>SUM(H22:H23)</f>
        <v>#REF!</v>
      </c>
    </row>
    <row r="25" spans="2:8" ht="16.5" customHeight="1"/>
    <row r="26" spans="2:8" ht="16.5" customHeight="1"/>
    <row r="27" spans="2:8" ht="16.5" customHeight="1"/>
    <row r="28" spans="2:8" ht="16.5" customHeight="1"/>
    <row r="29" spans="2:8" ht="16.5" customHeight="1"/>
    <row r="30" spans="2:8" ht="16.5" customHeight="1"/>
    <row r="31" spans="2:8" ht="16.5" customHeight="1"/>
    <row r="32" spans="2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Run 1 Gen 1 </vt:lpstr>
      <vt:lpstr>Run 2 Gen 1+2</vt:lpstr>
      <vt:lpstr>Run 3 Zeolite  </vt:lpstr>
      <vt:lpstr>Run 4 Gen 1 + Zeolite </vt:lpstr>
      <vt:lpstr>Run 5 Gen 1+Gen 2.2+ Zeolite</vt:lpstr>
      <vt:lpstr>Run 3, 4, and 5</vt:lpstr>
      <vt:lpstr>All Run</vt:lpstr>
      <vt:lpstr>All Run w Tables</vt:lpstr>
      <vt:lpstr>Effieciency</vt:lpstr>
      <vt:lpstr>UAE Results</vt:lpstr>
      <vt:lpstr>Dashboard</vt:lpstr>
      <vt:lpstr>Run 3, 4, and 5 (2)</vt:lpstr>
      <vt:lpstr>Graph reserve</vt:lpstr>
      <vt:lpstr>UAE</vt:lpstr>
      <vt:lpstr>Run 1 Gen 1 with 10%, 17.1% (2)</vt:lpstr>
      <vt:lpstr>Reserved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Tanachai Vilainate</dc:creator>
  <cp:keywords/>
  <dc:description/>
  <cp:lastModifiedBy>Tanachai Vilainate</cp:lastModifiedBy>
  <cp:revision/>
  <dcterms:created xsi:type="dcterms:W3CDTF">2025-11-14T08:11:51Z</dcterms:created>
  <dcterms:modified xsi:type="dcterms:W3CDTF">2026-06-05T12:59:45Z</dcterms:modified>
  <cp:category/>
  <cp:contentStatus/>
</cp:coreProperties>
</file>